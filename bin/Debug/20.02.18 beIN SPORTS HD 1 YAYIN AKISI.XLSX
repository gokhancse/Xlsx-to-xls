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updateLinks="never" codeName="ThisWorkbook"/>
  <bookViews>
    <workbookView xWindow="0" yWindow="120" windowWidth="19440" windowHeight="12315" tabRatio="646"/>
  </bookViews>
  <sheets>
    <sheet name="HD 1 AKIS" sheetId="1" r:id="rId1"/>
    <sheet name="Sheet62" sheetId="78" r:id="rId2"/>
    <sheet name="Sheet1" sheetId="13" state="hidden" r:id="rId3"/>
    <sheet name="Sheet4" sheetId="16" state="hidden" r:id="rId4"/>
    <sheet name="Sheet2" sheetId="17" state="hidden" r:id="rId5"/>
    <sheet name="Sheet5" sheetId="19" state="hidden" r:id="rId6"/>
    <sheet name="Sheet3" sheetId="20" state="hidden" r:id="rId7"/>
    <sheet name="Sheet6" sheetId="21" state="hidden" r:id="rId8"/>
    <sheet name="Sheet7" sheetId="22" state="hidden" r:id="rId9"/>
    <sheet name="Sheet8" sheetId="23" state="hidden" r:id="rId10"/>
    <sheet name="Sheet9" sheetId="24" state="hidden" r:id="rId11"/>
    <sheet name="Sheet10" sheetId="25" state="hidden" r:id="rId12"/>
    <sheet name="Sheet11" sheetId="26" state="hidden" r:id="rId13"/>
    <sheet name="Sheet12" sheetId="27" state="hidden" r:id="rId14"/>
    <sheet name="Sheet13" sheetId="28" state="hidden" r:id="rId15"/>
    <sheet name="Sheet14" sheetId="29" state="hidden" r:id="rId16"/>
    <sheet name="Sheet15" sheetId="30" state="hidden" r:id="rId17"/>
    <sheet name="Sheet16" sheetId="31" state="hidden" r:id="rId18"/>
    <sheet name="Sheet17" sheetId="32" state="hidden" r:id="rId19"/>
    <sheet name="Sheet18" sheetId="33" state="hidden" r:id="rId20"/>
    <sheet name="Sheet19" sheetId="34" state="hidden" r:id="rId21"/>
    <sheet name="Sheet20" sheetId="35" state="hidden" r:id="rId22"/>
    <sheet name="Sheet21" sheetId="36" state="hidden" r:id="rId23"/>
    <sheet name="Sheet22" sheetId="37" state="hidden" r:id="rId24"/>
    <sheet name="Sheet23" sheetId="38" state="hidden" r:id="rId25"/>
    <sheet name="Sheet24" sheetId="39" state="hidden" r:id="rId26"/>
    <sheet name="Sheet25" sheetId="40" state="hidden" r:id="rId27"/>
    <sheet name="Sheet26" sheetId="41" state="hidden" r:id="rId28"/>
    <sheet name="Sheet27" sheetId="42" state="hidden" r:id="rId29"/>
    <sheet name="Sheet28" sheetId="43" state="hidden" r:id="rId30"/>
    <sheet name="Sheet29" sheetId="44" state="hidden" r:id="rId31"/>
    <sheet name="Sheet30" sheetId="45" state="hidden" r:id="rId32"/>
    <sheet name="Sheet31" sheetId="46" state="hidden" r:id="rId33"/>
    <sheet name="Sheet32" sheetId="47" state="hidden" r:id="rId34"/>
    <sheet name="Sheet33" sheetId="48" state="hidden" r:id="rId35"/>
    <sheet name="Sheet34" sheetId="49" state="hidden" r:id="rId36"/>
    <sheet name="Sheet35" sheetId="50" state="hidden" r:id="rId37"/>
    <sheet name="Sheet36" sheetId="51" state="hidden" r:id="rId38"/>
    <sheet name="Sheet37" sheetId="52" state="hidden" r:id="rId39"/>
    <sheet name="Sheet38" sheetId="53" state="hidden" r:id="rId40"/>
    <sheet name="Sheet39" sheetId="54" state="hidden" r:id="rId41"/>
    <sheet name="Sheet40" sheetId="55" state="hidden" r:id="rId42"/>
    <sheet name="Sheet41" sheetId="56" state="hidden" r:id="rId43"/>
    <sheet name="Sheet42" sheetId="57" state="hidden" r:id="rId44"/>
    <sheet name="Sheet43" sheetId="58" state="hidden" r:id="rId45"/>
    <sheet name="Sheet44" sheetId="59" state="hidden" r:id="rId46"/>
    <sheet name="Sheet45" sheetId="60" state="hidden" r:id="rId47"/>
    <sheet name="Sheet46" sheetId="61" state="hidden" r:id="rId48"/>
    <sheet name="Sheet47" sheetId="62" state="hidden" r:id="rId49"/>
    <sheet name="Sheet48" sheetId="63" state="hidden" r:id="rId50"/>
    <sheet name="Sheet49" sheetId="64" state="hidden" r:id="rId51"/>
    <sheet name="Sheet50" sheetId="65" state="hidden" r:id="rId52"/>
    <sheet name="Sheet51" sheetId="66" state="hidden" r:id="rId53"/>
    <sheet name="Sheet52" sheetId="67" state="hidden" r:id="rId54"/>
    <sheet name="Sheet53" sheetId="68" state="hidden" r:id="rId55"/>
    <sheet name="Sheet54" sheetId="69" state="hidden" r:id="rId56"/>
    <sheet name="Sheet55" sheetId="70" state="hidden" r:id="rId57"/>
    <sheet name="Sheet56" sheetId="71" state="hidden" r:id="rId58"/>
    <sheet name="Sheet57" sheetId="72" state="hidden" r:id="rId59"/>
    <sheet name="Sheet58" sheetId="74" state="hidden" r:id="rId60"/>
    <sheet name="Sheet59" sheetId="75" state="hidden" r:id="rId61"/>
    <sheet name="Sheet60" sheetId="76" state="hidden" r:id="rId62"/>
    <sheet name="Sheet61" sheetId="77" state="hidden" r:id="rId63"/>
  </sheets>
  <definedNames>
    <definedName name="_.">'HD 1 AKIS'!#REF!</definedName>
    <definedName name="_xlnm._FilterDatabase" localSheetId="0" hidden="1">'HD 1 AKIS'!$B$3:$H$458</definedName>
    <definedName name="arti1">SUM('HD 1 AKIS'!A1048576+1)</definedName>
    <definedName name="_xlnm.Criteria">'HD 1 AKIS'!$D$3:$D$3</definedName>
    <definedName name="DUR">'HD 1 AKIS'!$F$4:$F$4</definedName>
    <definedName name="_xlnm.Extract">'HD 1 AKIS'!#REF!</definedName>
    <definedName name="giris">SUM('HD 1 AKIS'!A1048576+'HD 1 AKIS'!F1048576)</definedName>
    <definedName name="ID">'HD 1 AKIS'!$C$4:$C$4</definedName>
    <definedName name="NO">'HD 1 AKIS'!$A$4:$A$4</definedName>
    <definedName name="NOTES">'HD 1 AKIS'!$H$4:$H$4</definedName>
    <definedName name="_xlnm.Print_Area" localSheetId="0">'HD 1 AKIS'!$B$1:$H$284</definedName>
    <definedName name="SEG">'HD 1 AKIS'!#REF!</definedName>
    <definedName name="START">'HD 1 AKIS'!$B$4:$B$4</definedName>
    <definedName name="TC_IN">'HD 1 AKIS'!$E$4:$E$4</definedName>
    <definedName name="TC_OUT">'HD 1 AKIS'!$G$4:$G$4</definedName>
    <definedName name="TITLE">'HD 1 AKIS'!$D$4:$D$4</definedName>
  </definedNames>
  <calcPr calcId="145621"/>
  <fileRecoveryPr autoRecover="0"/>
</workbook>
</file>

<file path=xl/calcChain.xml><?xml version="1.0" encoding="utf-8"?>
<calcChain xmlns="http://schemas.openxmlformats.org/spreadsheetml/2006/main">
  <c r="B219" i="1" l="1"/>
  <c r="B220" i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120" i="1"/>
  <c r="B121" i="1"/>
  <c r="B122" i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A154" i="1" l="1"/>
  <c r="F133" i="1" l="1"/>
  <c r="F128" i="1"/>
  <c r="F125" i="1"/>
  <c r="F55" i="1" l="1"/>
  <c r="F53" i="1"/>
  <c r="F51" i="1"/>
  <c r="F105" i="1" l="1"/>
  <c r="F225" i="1"/>
  <c r="F216" i="1"/>
  <c r="F208" i="1"/>
  <c r="A196" i="1"/>
  <c r="F188" i="1"/>
  <c r="A179" i="1"/>
  <c r="A181" i="1" s="1"/>
  <c r="A184" i="1" s="1"/>
  <c r="A185" i="1" s="1"/>
  <c r="A186" i="1" s="1"/>
  <c r="F284" i="1"/>
  <c r="F280" i="1"/>
  <c r="F270" i="1"/>
  <c r="F268" i="1"/>
  <c r="F256" i="1"/>
  <c r="F254" i="1"/>
  <c r="F251" i="1"/>
  <c r="F245" i="1"/>
  <c r="F243" i="1"/>
  <c r="F238" i="1"/>
  <c r="F236" i="1"/>
  <c r="A180" i="1" l="1"/>
  <c r="F23" i="1" l="1"/>
  <c r="F223" i="1" l="1"/>
  <c r="F221" i="1"/>
  <c r="F218" i="1"/>
  <c r="F214" i="1" l="1"/>
  <c r="F212" i="1"/>
  <c r="F205" i="1" l="1"/>
  <c r="F197" i="1"/>
  <c r="F194" i="1"/>
  <c r="F183" i="1" l="1"/>
  <c r="F118" i="1" l="1"/>
  <c r="F167" i="1"/>
  <c r="F171" i="1"/>
  <c r="F159" i="1" l="1"/>
  <c r="F156" i="1"/>
  <c r="F138" i="1"/>
  <c r="F141" i="1"/>
  <c r="A136" i="1"/>
  <c r="A137" i="1" s="1"/>
  <c r="A131" i="1"/>
  <c r="F116" i="1"/>
  <c r="F111" i="1"/>
  <c r="F108" i="1"/>
  <c r="F103" i="1"/>
  <c r="B7" i="1" l="1"/>
  <c r="B8" i="1" s="1"/>
  <c r="F97" i="1" l="1"/>
  <c r="F89" i="1" l="1"/>
  <c r="F85" i="1"/>
  <c r="F43" i="1"/>
  <c r="F39" i="1"/>
  <c r="F13" i="1" l="1"/>
  <c r="F73" i="1" l="1"/>
  <c r="F65" i="1"/>
  <c r="F63" i="1"/>
  <c r="F28" i="1"/>
  <c r="F18" i="1"/>
  <c r="F10" i="1"/>
  <c r="F8" i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A322" i="1"/>
  <c r="A312" i="1"/>
  <c r="A390" i="1" l="1"/>
  <c r="A391" i="1" s="1"/>
  <c r="A392" i="1" s="1"/>
  <c r="A303" i="1"/>
</calcChain>
</file>

<file path=xl/sharedStrings.xml><?xml version="1.0" encoding="utf-8"?>
<sst xmlns="http://schemas.openxmlformats.org/spreadsheetml/2006/main" count="735" uniqueCount="320">
  <si>
    <t>NO</t>
  </si>
  <si>
    <t>ID</t>
  </si>
  <si>
    <t>.</t>
  </si>
  <si>
    <t>NOTLAR</t>
  </si>
  <si>
    <t>GİRİŞİ</t>
  </si>
  <si>
    <t>TC ÇIKIŞI</t>
  </si>
  <si>
    <t xml:space="preserve"> </t>
  </si>
  <si>
    <t xml:space="preserve">  </t>
  </si>
  <si>
    <t>TC GİRİŞ</t>
  </si>
  <si>
    <t>J</t>
  </si>
  <si>
    <t>P</t>
  </si>
  <si>
    <t>DÜNYA KUPASI TV YAYINI PROGRAMI </t>
  </si>
  <si>
    <t>12 Haziran Perşembe </t>
  </si>
  <si>
    <t>23:00 Brezilya-Hırvatistan TRT 1 </t>
  </si>
  <si>
    <t>13 Haziran Cuma </t>
  </si>
  <si>
    <t>19.00: Meksika-Kamerun TRT 1    </t>
  </si>
  <si>
    <t>22:00 İspanya-Hollanda TRT 1 </t>
  </si>
  <si>
    <t>01:00 Şili-Avustralya (Cumayı cumartesiye bağlayan gece ) TRT 1 </t>
  </si>
  <si>
    <t>14 Haziran Cumartesi </t>
  </si>
  <si>
    <t>19:00 Kolombiya-Yunanistan TRT 1 </t>
  </si>
  <si>
    <t>22:00 Uruguay-Kostarika TRT 1 </t>
  </si>
  <si>
    <t>01:00 İngiltere-İtalya (Cumartesiyi pazara bağlayan gece) TRT 1 </t>
  </si>
  <si>
    <t>04:00 Fildişi Sahili-Japonya (Cumartesiyi pazara bağlayan gece) TRT 1</t>
  </si>
  <si>
    <t>15 Haziran Pazar </t>
  </si>
  <si>
    <t>19:00 İsviçre-Ekvador TRT 1 </t>
  </si>
  <si>
    <t>22:00 Fransa Hondras TRT 1 </t>
  </si>
  <si>
    <t>01:00 Arjantin Bosna Hersek TRT 1</t>
  </si>
  <si>
    <t>16 Haziran Pazartesi </t>
  </si>
  <si>
    <t>19:00 Almanya-Portekiz TRT 1 </t>
  </si>
  <si>
    <t>22:00 İran-Nijerya TRT 1 </t>
  </si>
  <si>
    <t>01:00 Gana- ABD TRT 1 </t>
  </si>
  <si>
    <t>17 Haziran Salı </t>
  </si>
  <si>
    <t>19:00 Belçika-Cezayir TRT 1 </t>
  </si>
  <si>
    <t>22:00 Brezilya-Meksika TRT 1 </t>
  </si>
  <si>
    <t>01:00 Rusya-Güney Kore TRT 1 </t>
  </si>
  <si>
    <t>18 Haziran Çarşamba </t>
  </si>
  <si>
    <t>19:00 Avustrulya-Hollanda TRT 1 </t>
  </si>
  <si>
    <t>22:00 İspanya-Şili TRT 1 </t>
  </si>
  <si>
    <t>01:00 Kamerun-Hırvatistan TRT 1 </t>
  </si>
  <si>
    <t>19 Haziran Perşembe </t>
  </si>
  <si>
    <t>19:00. Kolombiya-Fildişi Sahili TRT 1 </t>
  </si>
  <si>
    <t>22:00 Uruguay-İngiltere TRT 1 </t>
  </si>
  <si>
    <t>01:00 Japonya-Yunanistan TRT 1 </t>
  </si>
  <si>
    <t>20 Haziran Cuma </t>
  </si>
  <si>
    <t>19:00 İtalya-Kostarika TRT 1 </t>
  </si>
  <si>
    <t>22:00 İsviçre-Fransa TRT 1 </t>
  </si>
  <si>
    <t>01:00 Honduras-Ekvador TRT 1 </t>
  </si>
  <si>
    <t>21 Haziran Cumartesi </t>
  </si>
  <si>
    <t>19:00 Arjantin-İran TRT 1 </t>
  </si>
  <si>
    <t>22:00 Almanya-Gana TRT 1 </t>
  </si>
  <si>
    <t>01:00 Nijerya-Bosna Hersek TRT 1 </t>
  </si>
  <si>
    <t>22 Haziran Pazar </t>
  </si>
  <si>
    <t>19:00 Belçika-Rusya TRT 1 </t>
  </si>
  <si>
    <t>22:00 Güney Kore-Cezayir TRT 1ve </t>
  </si>
  <si>
    <t>01:00 ABD-Portekiz TRT 1 </t>
  </si>
  <si>
    <t>23 Haziran Pazartesi </t>
  </si>
  <si>
    <t>19:00 Hollanda-Şili TRT SPOR,TRT HD </t>
  </si>
  <si>
    <t>19:00 Avusturalya-İspanya TRT 1 </t>
  </si>
  <si>
    <t>23:00 Kamerun-Brezilya TRT 1 </t>
  </si>
  <si>
    <t>23:00 Yunanistan-Meksika TRT SPOR, TRT HD </t>
  </si>
  <si>
    <t>24 Haziran Salı </t>
  </si>
  <si>
    <t>19:00 İtalya-Uruguay TRT 1 </t>
  </si>
  <si>
    <t>19:00 Kostarika-İngiltere TRT SPOR, TRT HD </t>
  </si>
  <si>
    <t>23:00 Japonya-Kolombiya TRT 1 </t>
  </si>
  <si>
    <t>23:00 Yunanistan-Fildişi Sahili TRT SPOR, TRT HD </t>
  </si>
  <si>
    <t>25 Haziran Çarşamba </t>
  </si>
  <si>
    <t>19:00 Nijerya-Arjantin TRT 1 </t>
  </si>
  <si>
    <t>19:00 Bosna Hersek-İran TRT SPOR, TRT HD </t>
  </si>
  <si>
    <t>23:00 Ekvator-Fransa TRT 1 ve </t>
  </si>
  <si>
    <t>23:00 Honduras-İsviçre TRT SPOR, TRT HD </t>
  </si>
  <si>
    <t>26 Haziran Perşembe </t>
  </si>
  <si>
    <t>19:00 ABD Almanya TRT 1 </t>
  </si>
  <si>
    <t>19:00 Portekiz Gana TRT SPOR, TRT HD </t>
  </si>
  <si>
    <t>23:00 Cezayir-Rusya TRT 1 </t>
  </si>
  <si>
    <t>23:00 Güney Kore-Belçika TRT SPOR, TRT HD </t>
  </si>
  <si>
    <r>
      <t>İKİNCİ TUR</t>
    </r>
    <r>
      <rPr>
        <sz val="12"/>
        <color rgb="FF444444"/>
        <rFont val="Arial"/>
        <family val="2"/>
        <charset val="162"/>
      </rPr>
      <t> </t>
    </r>
  </si>
  <si>
    <t>28. Haziran Cumartesi </t>
  </si>
  <si>
    <t>19:00 A1-B2 TRT SPOR, TRT HD </t>
  </si>
  <si>
    <t>23:00 C1-D2 TRT 1 </t>
  </si>
  <si>
    <t>29 Haziran Pazar </t>
  </si>
  <si>
    <t>19:00 B1-A2 TRT SPOR, TRT HD </t>
  </si>
  <si>
    <t>23:00 D1-C2 TRT 1 </t>
  </si>
  <si>
    <t>30 Haziran Pazartesi </t>
  </si>
  <si>
    <t>19:00 E1-F2 TRT SPOR, TRT HD </t>
  </si>
  <si>
    <t>23:00 G1-H2 TRT 1 </t>
  </si>
  <si>
    <t>1 Temmuz Salı </t>
  </si>
  <si>
    <t>19:00 F1-E2 TRT SPOR, TRT HD </t>
  </si>
  <si>
    <t>23:00 H1-G2 TRT 1</t>
  </si>
  <si>
    <r>
      <t>ÇEYREK FİNAL</t>
    </r>
    <r>
      <rPr>
        <sz val="12"/>
        <color rgb="FF444444"/>
        <rFont val="Arial"/>
        <family val="2"/>
        <charset val="162"/>
      </rPr>
      <t> </t>
    </r>
  </si>
  <si>
    <t>4 Temmuz Cuma 19:00 TRT SPOR, TRT HD </t>
  </si>
  <si>
    <t>4 Temmuz Cuma 23:00 TRT 1 </t>
  </si>
  <si>
    <t>5 Temmuz Cumartesi 19:00 TRT SPOR, TRT HD </t>
  </si>
  <si>
    <t>5 Temmuz Cumartesi 23:00 TRT 1 </t>
  </si>
  <si>
    <r>
      <t>YARI FİNAL</t>
    </r>
    <r>
      <rPr>
        <sz val="12"/>
        <color rgb="FF444444"/>
        <rFont val="Arial"/>
        <family val="2"/>
        <charset val="162"/>
      </rPr>
      <t> </t>
    </r>
  </si>
  <si>
    <t>8 Temmuz Salı 23.00 TRT 1 </t>
  </si>
  <si>
    <t>9 Temmuz Çarşamba 23:00 TRT 1 </t>
  </si>
  <si>
    <r>
      <t>ÜÇÜNCÜLÜK MAÇI</t>
    </r>
    <r>
      <rPr>
        <sz val="12"/>
        <color rgb="FF444444"/>
        <rFont val="Arial"/>
        <family val="2"/>
        <charset val="162"/>
      </rPr>
      <t> </t>
    </r>
  </si>
  <si>
    <t>12 Temmuz Cumartesi 23:00 TRT 1 </t>
  </si>
  <si>
    <r>
      <t>FİNAL MAÇI</t>
    </r>
    <r>
      <rPr>
        <sz val="12"/>
        <color rgb="FF444444"/>
        <rFont val="Arial"/>
        <family val="2"/>
        <charset val="162"/>
      </rPr>
      <t> </t>
    </r>
  </si>
  <si>
    <t>13 Temmuz Pazar 22:00 TRT 1</t>
  </si>
  <si>
    <t>J REKLAM GIRIS JENERIK beIN</t>
  </si>
  <si>
    <t>J REKLAM CIKIS JENERIK beIN</t>
  </si>
  <si>
    <t>beIN SPORTS HD 1</t>
  </si>
  <si>
    <t>TEKRAR</t>
  </si>
  <si>
    <t>beIN SPORTS HD 1 YAYIN AKIŞI</t>
  </si>
  <si>
    <t>K</t>
  </si>
  <si>
    <t>STSL MAÇ KAPAK</t>
  </si>
  <si>
    <t>beIN SPORTS</t>
  </si>
  <si>
    <t>TEKRAR VERİLECEK !!!</t>
  </si>
  <si>
    <t>M</t>
  </si>
  <si>
    <t>beIN ID 1 (FUTBOL / BASKETBOL)</t>
  </si>
  <si>
    <t>A 022</t>
  </si>
  <si>
    <t>JENERİĞE DİKKAT EDELİM VARMI YOKMU // MANZARA VARSA ÇIKARALIM</t>
  </si>
  <si>
    <t>A 021</t>
  </si>
  <si>
    <t>A 001</t>
  </si>
  <si>
    <t>EFL PROMO</t>
  </si>
  <si>
    <t>YENİ GÜN // CANLI         "ORTAK YAYIN"</t>
  </si>
  <si>
    <t>CANLI</t>
  </si>
  <si>
    <t>PROGRAM SONU SPONSORU: BAYAN KOSTÜM * ADL &amp; DRY CENTER</t>
  </si>
  <si>
    <t>SON KULLANMA ?</t>
  </si>
  <si>
    <t>1 OPT - 1 PT</t>
  </si>
  <si>
    <t>A 002</t>
  </si>
  <si>
    <t>FRANSA "LIGUE 1" PROMO</t>
  </si>
  <si>
    <t>E001</t>
  </si>
  <si>
    <r>
      <t>AİLE VE SOSYAL POL. BAK. - DİSLEKSİ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</si>
  <si>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t>beIN FİNAL</t>
  </si>
  <si>
    <t>beIN FİNAL // 1</t>
  </si>
  <si>
    <t>beIN ID 4 (FUTBOL / BASKETBOL / TENIS)</t>
  </si>
  <si>
    <t>beIN ID 2 (FUTBOL / BASKETBOL)</t>
  </si>
  <si>
    <t>C 402</t>
  </si>
  <si>
    <t>EPLWORLD 2</t>
  </si>
  <si>
    <t>A 067</t>
  </si>
  <si>
    <t>beIN FİNAL // 2</t>
  </si>
  <si>
    <t>beIN FİNAL // 3</t>
  </si>
  <si>
    <t>ST 1. LİG MAÇ ÖZETLERİ</t>
  </si>
  <si>
    <t>C 003</t>
  </si>
  <si>
    <t>TURKEY SHOTS FOR TEASERS 3</t>
  </si>
  <si>
    <t>GENEL</t>
  </si>
  <si>
    <t>A 099</t>
  </si>
  <si>
    <t>A 102</t>
  </si>
  <si>
    <t>PAULISTA "BREZİLYA" MAÇ ÖZETLERİ</t>
  </si>
  <si>
    <t>EFL CHAMPIONSHIP HAFTANIN GOLLERİ</t>
  </si>
  <si>
    <t>A 096</t>
  </si>
  <si>
    <t>beIN ID 3 (FUTBOL / BASKETBOL / TENIS)</t>
  </si>
  <si>
    <t>FRANSA'DAN FUTBOL JENERİK</t>
  </si>
  <si>
    <t>FRANSA'DAN FUTBOL // 1</t>
  </si>
  <si>
    <t>FRANSA'DAN FUTBOL // 2</t>
  </si>
  <si>
    <t>C 451</t>
  </si>
  <si>
    <t xml:space="preserve">THIS IS PARIS 1 </t>
  </si>
  <si>
    <t>20/02/2018 SALI</t>
  </si>
  <si>
    <t>22. HAFTA</t>
  </si>
  <si>
    <t>STSL 22. HAFTA * ATİKER KONYASPOR - BEŞİKTAŞ // 1. DEVRE</t>
  </si>
  <si>
    <t>1. DEVRE: GOL DK: 26 (BJK 1) // UZATMA: +1</t>
  </si>
  <si>
    <t>STSL 22. HAFTA * ATİKER KONYASPOR - BEŞİKTAŞ // 2. DEVRE</t>
  </si>
  <si>
    <t>2. DEVRE: GOL DK. 59 (KONYA 1)  // UZATMA: +7</t>
  </si>
  <si>
    <t>STSL 22. HAFTA * ANTALYASPOR - KAYSERİSPOR // 1. DEVRE</t>
  </si>
  <si>
    <t>1. DEVRE: GOL YOK // UZATMA: +3</t>
  </si>
  <si>
    <t>STSL 22. HAFTA * ANTALYASPOR - KAYSERİSPOR // 2. DEVRE</t>
  </si>
  <si>
    <t>2. DEVRE: GOL DK. 59 (ANT 1) // DK. 79 (KYS 1) // DK. 87 (ANT 2) // UZATMA: +4</t>
  </si>
  <si>
    <r>
      <t xml:space="preserve">İSPANYA'DAN FUTBOL SALI 16:00 // BUGÜN </t>
    </r>
    <r>
      <rPr>
        <sz val="12"/>
        <color rgb="FFFF0000"/>
        <rFont val="Times New Roman"/>
        <family val="1"/>
        <charset val="162"/>
      </rPr>
      <t>HD 1</t>
    </r>
  </si>
  <si>
    <t>#ALO beIN ÇARŞAMBA 20:00 // YARIN  HD 1</t>
  </si>
  <si>
    <r>
      <t xml:space="preserve">SPORMIX ÇARŞAMBA 21:00 // YARIN  </t>
    </r>
    <r>
      <rPr>
        <sz val="12"/>
        <color rgb="FFFF0000"/>
        <rFont val="Times New Roman"/>
        <family val="1"/>
        <charset val="162"/>
      </rPr>
      <t>HD 1</t>
    </r>
  </si>
  <si>
    <t>A 124</t>
  </si>
  <si>
    <r>
      <t xml:space="preserve">OYUN KURUCU PERŞEMBE 21:00 </t>
    </r>
    <r>
      <rPr>
        <sz val="12"/>
        <color rgb="FFFF0000"/>
        <rFont val="Times New Roman"/>
        <family val="1"/>
        <charset val="162"/>
      </rPr>
      <t>HD 1</t>
    </r>
  </si>
  <si>
    <r>
      <t xml:space="preserve">YENİ GÜN HAFTA İÇİ HER GÜN 07:00 </t>
    </r>
    <r>
      <rPr>
        <b/>
        <sz val="12"/>
        <color rgb="FFFF0000"/>
        <rFont val="Times New Roman"/>
        <family val="1"/>
        <charset val="162"/>
      </rPr>
      <t>HD 1 VE beINSPORTS HABER</t>
    </r>
  </si>
  <si>
    <t>A 003</t>
  </si>
  <si>
    <t>SPOR TOTO SUPER LİG PROMO</t>
  </si>
  <si>
    <t>A 004</t>
  </si>
  <si>
    <t>SPOR TOTO 1.LİG PROMO</t>
  </si>
  <si>
    <t>C 343</t>
  </si>
  <si>
    <t>WTA MAGAZİNE 5</t>
  </si>
  <si>
    <t>A 121</t>
  </si>
  <si>
    <r>
      <t xml:space="preserve">SOYUNMA ODASI GENEL PERŞEMBE 20:00 </t>
    </r>
    <r>
      <rPr>
        <sz val="12"/>
        <color rgb="FFFF0000"/>
        <rFont val="Times New Roman"/>
        <family val="1"/>
        <charset val="162"/>
      </rPr>
      <t>HD 1</t>
    </r>
  </si>
  <si>
    <t>C 452</t>
  </si>
  <si>
    <t xml:space="preserve">THIS IS PARIS 2 </t>
  </si>
  <si>
    <r>
      <t xml:space="preserve">GÜN ORTASI HAFTA İÇİ HER GÜN 13:00  </t>
    </r>
    <r>
      <rPr>
        <b/>
        <sz val="12"/>
        <color rgb="FFFF0000"/>
        <rFont val="Times New Roman"/>
        <family val="1"/>
        <charset val="162"/>
      </rPr>
      <t>HD 1 VE beINSPORTS HABER</t>
    </r>
  </si>
  <si>
    <r>
      <t xml:space="preserve">PREMIER LEAGUE WORLD ÇARŞAMBA 19:30 // YARIN  </t>
    </r>
    <r>
      <rPr>
        <sz val="12"/>
        <color rgb="FFFF0000"/>
        <rFont val="Times New Roman"/>
        <family val="1"/>
        <charset val="162"/>
      </rPr>
      <t>HD 1</t>
    </r>
  </si>
  <si>
    <t>C 416</t>
  </si>
  <si>
    <t>EPL KLIP</t>
  </si>
  <si>
    <t>A 231</t>
  </si>
  <si>
    <r>
      <t xml:space="preserve">ST 1.LİG  23. HFTA TOPLU 9'LU SALI- BUGUN 16:00 // </t>
    </r>
    <r>
      <rPr>
        <sz val="12"/>
        <color rgb="FFFF0000"/>
        <rFont val="Times New Roman"/>
        <family val="1"/>
        <charset val="162"/>
      </rPr>
      <t>MAX 1 - MAX 2</t>
    </r>
  </si>
  <si>
    <t>A 311</t>
  </si>
  <si>
    <r>
      <rPr>
        <sz val="12"/>
        <rFont val="Times New Roman"/>
        <family val="1"/>
        <charset val="162"/>
      </rPr>
      <t>ISP 16. HFT ERTELEME MAÇ LEGANES - REAL MADRID ÇARŞAMBA 20:45</t>
    </r>
    <r>
      <rPr>
        <sz val="12"/>
        <color rgb="FFFF0000"/>
        <rFont val="Times New Roman"/>
        <family val="1"/>
        <charset val="162"/>
      </rPr>
      <t>//HD2</t>
    </r>
  </si>
  <si>
    <t>C 605</t>
  </si>
  <si>
    <t>LALIGA WORLD DOLGU -5</t>
  </si>
  <si>
    <t>C 524</t>
  </si>
  <si>
    <t>LALIGA DOLGU 22 (BEST GOAL)</t>
  </si>
  <si>
    <t xml:space="preserve">VIP: ARSENE WENGER </t>
  </si>
  <si>
    <t>C 346</t>
  </si>
  <si>
    <t>WTA MAGAZİNE 7</t>
  </si>
  <si>
    <t>EFL CHAMPIONSHIP  MAÇ ÖZETLERİ //1</t>
  </si>
  <si>
    <t>EFL CHAMPIONSHIP  MAÇ ÖZETLERİ //2</t>
  </si>
  <si>
    <t>A 118</t>
  </si>
  <si>
    <r>
      <t xml:space="preserve">LALIGA WORLD PERŞEMBE 19:30   </t>
    </r>
    <r>
      <rPr>
        <sz val="12"/>
        <color rgb="FFFF0000"/>
        <rFont val="Times New Roman"/>
        <family val="1"/>
        <charset val="162"/>
      </rPr>
      <t>HD 1</t>
    </r>
  </si>
  <si>
    <t>R</t>
  </si>
  <si>
    <t>REK 4</t>
  </si>
  <si>
    <t>C 410</t>
  </si>
  <si>
    <t xml:space="preserve">EPL WORLD KLİP </t>
  </si>
  <si>
    <t>PAULISTA LIGI  MAÇ ÖZETLERİ //1</t>
  </si>
  <si>
    <t>PAULISTA LIGI  MAÇ ÖZETLERİ //2</t>
  </si>
  <si>
    <t>A 214</t>
  </si>
  <si>
    <r>
      <t xml:space="preserve">BEŞİKTAŞ FENERBAHÇE  - PAZAR 19:00 </t>
    </r>
    <r>
      <rPr>
        <sz val="12"/>
        <color rgb="FFFF0000"/>
        <rFont val="Times New Roman"/>
        <family val="1"/>
        <charset val="162"/>
      </rPr>
      <t>HD 1</t>
    </r>
  </si>
  <si>
    <t>1 OPT</t>
  </si>
  <si>
    <t>C 537</t>
  </si>
  <si>
    <t>LALIGA 1</t>
  </si>
  <si>
    <t>REK 5</t>
  </si>
  <si>
    <t>E019</t>
  </si>
  <si>
    <t>ÇEVRE VE ŞEHİRCİLİK BK. - CVSB EKO ETİKET (KAMU SPOTU)</t>
  </si>
  <si>
    <t>BELLİ DEĞİL</t>
  </si>
  <si>
    <t>GÜN ORTASI // CANLI  "ORTAK YAYIN"</t>
  </si>
  <si>
    <t>REK 3</t>
  </si>
  <si>
    <t>E022</t>
  </si>
  <si>
    <r>
      <t xml:space="preserve">TSK GÜÇLENDİRME VAKFI </t>
    </r>
    <r>
      <rPr>
        <b/>
        <sz val="11"/>
        <color rgb="FF800000"/>
        <rFont val="Times New Roman"/>
        <family val="1"/>
        <charset val="162"/>
      </rPr>
      <t>(ZORUNLU)</t>
    </r>
  </si>
  <si>
    <t>PROGRAM SONU SPONSORU: BAYAN KOSTÜM * ADL</t>
  </si>
  <si>
    <t>REK 6</t>
  </si>
  <si>
    <t>FRANSADAN FUTBOL //1</t>
  </si>
  <si>
    <t>FRANSADAN FUTBOL //2</t>
  </si>
  <si>
    <t>C 406</t>
  </si>
  <si>
    <t>EPL KLİP</t>
  </si>
  <si>
    <t xml:space="preserve">5  HB : </t>
  </si>
  <si>
    <t>REK 8</t>
  </si>
  <si>
    <t>E021</t>
  </si>
  <si>
    <r>
      <t xml:space="preserve">SAĞLIK BAKANLIĞI - ANTİBİYOTİK </t>
    </r>
    <r>
      <rPr>
        <b/>
        <sz val="11"/>
        <color rgb="FF800000"/>
        <rFont val="Times New Roman"/>
        <family val="1"/>
        <charset val="162"/>
      </rPr>
      <t>(ZORUNLU)</t>
    </r>
  </si>
  <si>
    <t>GÜN ORTASI // 1</t>
  </si>
  <si>
    <t>GÜN ORTASI // 2</t>
  </si>
  <si>
    <t>REK 10</t>
  </si>
  <si>
    <t>GÜN ORTASI JENERİK</t>
  </si>
  <si>
    <t>C 414</t>
  </si>
  <si>
    <t>EPL WORLD KLİP</t>
  </si>
  <si>
    <r>
      <t xml:space="preserve">ST 1.LİG  23. HFTA TOPLU 9'LU SALI 16:00 // </t>
    </r>
    <r>
      <rPr>
        <sz val="12"/>
        <color rgb="FFFF0000"/>
        <rFont val="Times New Roman"/>
        <family val="1"/>
        <charset val="162"/>
      </rPr>
      <t>MAX 1 - MAX 2</t>
    </r>
  </si>
  <si>
    <t>E017</t>
  </si>
  <si>
    <t>TEGV ALGO 2 (KAMU SPOTU)</t>
  </si>
  <si>
    <t xml:space="preserve">2  HB : </t>
  </si>
  <si>
    <t>REK 1</t>
  </si>
  <si>
    <t>C 602</t>
  </si>
  <si>
    <t>LALIGA WORLD DOLGU -2</t>
  </si>
  <si>
    <t>İSPANYA'DAN FUTBOL // 1 (YENİ)</t>
  </si>
  <si>
    <t>İSPANYA'DAN FUTBOL // 2 (YENİ)</t>
  </si>
  <si>
    <t>LALIGA WORLD // 1</t>
  </si>
  <si>
    <t>LALIGA WORLD // 2</t>
  </si>
  <si>
    <t>VIP: (DIMITRI PAYET) YENI</t>
  </si>
  <si>
    <t>3R</t>
  </si>
  <si>
    <t>ID LERİ REKLAM AKIŞINDAN GİRİNİZ               INGBANK SUNAR</t>
  </si>
  <si>
    <t>BSL STÜDYO // CANLI</t>
  </si>
  <si>
    <t>ID LERİ REKLAM AKIŞINDAN GİRİNİZ               INGBANK SUNDU</t>
  </si>
  <si>
    <t>C 341</t>
  </si>
  <si>
    <t>WTA MAGAZİNE 3</t>
  </si>
  <si>
    <t>PREMIER LEAGUE NETBUSTERS // 1</t>
  </si>
  <si>
    <t>PREMIER LEAGUE NETBUSTERS // 2</t>
  </si>
  <si>
    <t>PREMIER LEAGUE WORLD // 1</t>
  </si>
  <si>
    <t>PREMIER LEAGUE WORLD // 2</t>
  </si>
  <si>
    <t>beIN 1 // CANLI</t>
  </si>
  <si>
    <t>REK 16</t>
  </si>
  <si>
    <t>E002</t>
  </si>
  <si>
    <r>
      <t>SAĞLIK BAKANLIĞI - YEŞİLAY SONUNDA BAŞARDIM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</si>
  <si>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t>VAY BEE (YENİ)</t>
  </si>
  <si>
    <t>beIN TEKNİK</t>
  </si>
  <si>
    <t>20.02 // 21. BÖLÜM</t>
  </si>
  <si>
    <t>DERBI SAATI</t>
  </si>
  <si>
    <t xml:space="preserve"> FENERBAHÇE-BEŞİKTAŞ // 1. DEVRE</t>
  </si>
  <si>
    <t>FENERBAHÇE-BEŞİKTAŞ // 2. DEVRE</t>
  </si>
  <si>
    <r>
      <t xml:space="preserve">BEŞİKTAŞ-FENERBAHÇE // PAZAR 19:00 </t>
    </r>
    <r>
      <rPr>
        <sz val="12"/>
        <color rgb="FFFF0000"/>
        <rFont val="Times New Roman"/>
        <family val="1"/>
        <charset val="162"/>
      </rPr>
      <t>HD 1</t>
    </r>
  </si>
  <si>
    <t>A 351</t>
  </si>
  <si>
    <r>
      <t xml:space="preserve">LIGUE 1 27.HFT TOPLU CUMA 22:45 // </t>
    </r>
    <r>
      <rPr>
        <sz val="12"/>
        <color rgb="FFFF0000"/>
        <rFont val="Times New Roman"/>
        <family val="1"/>
        <charset val="162"/>
      </rPr>
      <t>MAX 1 - HD 2- HD 4</t>
    </r>
  </si>
  <si>
    <t>TEGV ALGO 3 (KAMU SPOTU)</t>
  </si>
  <si>
    <t>E018</t>
  </si>
  <si>
    <t>A 006</t>
  </si>
  <si>
    <t>LA LIGA PRESTIJ -   BEINSPORT PROMO GENEL</t>
  </si>
  <si>
    <t>C 453</t>
  </si>
  <si>
    <t>THIS IS PARIS 3</t>
  </si>
  <si>
    <t>REK 11</t>
  </si>
  <si>
    <t>C 006</t>
  </si>
  <si>
    <t>TURKEY SHOTS FOR TEASERS 6</t>
  </si>
  <si>
    <t>C 418</t>
  </si>
  <si>
    <t>EPL KLIP 2</t>
  </si>
  <si>
    <t>LALIGA GENUINE //1  (YENI)</t>
  </si>
  <si>
    <t>LALIGA GENUINE //2  (YENI)</t>
  </si>
  <si>
    <t>REK 12</t>
  </si>
  <si>
    <t>A 300</t>
  </si>
  <si>
    <r>
      <t xml:space="preserve">ISP   25.HFT TOPLU CUMA  23:00 // </t>
    </r>
    <r>
      <rPr>
        <sz val="12"/>
        <color rgb="FFFF0000"/>
        <rFont val="Times New Roman"/>
        <family val="1"/>
        <charset val="162"/>
      </rPr>
      <t>HD 2-3</t>
    </r>
  </si>
  <si>
    <t>REK 13</t>
  </si>
  <si>
    <t>C 001</t>
  </si>
  <si>
    <t>TURKEY SHOTS FOR TEASERS 1</t>
  </si>
  <si>
    <t>STSL MAÇ ÖZETLERİ // 2</t>
  </si>
  <si>
    <t>E016</t>
  </si>
  <si>
    <t>TEGV ALGO 1 (KAMU SPOTU)</t>
  </si>
  <si>
    <t>REK 17</t>
  </si>
  <si>
    <t>REK 18</t>
  </si>
  <si>
    <t xml:space="preserve">REK 19 EKSİK </t>
  </si>
  <si>
    <t>REK 21</t>
  </si>
  <si>
    <t>REK 22 EKSİK</t>
  </si>
  <si>
    <t>E003</t>
  </si>
  <si>
    <r>
      <t>SAĞLIK BAKANLIĞI - NARGİLE KÖZ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</si>
  <si>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t xml:space="preserve">3  HB : </t>
  </si>
  <si>
    <t>REK 24</t>
  </si>
  <si>
    <t>beIN TEKNİK // 1 (YENİ)</t>
  </si>
  <si>
    <t>beIN TEKNİK // 2 (YENİ)</t>
  </si>
  <si>
    <t>E004</t>
  </si>
  <si>
    <r>
      <t>SAĞLIK BAKANLIĞI - NARGİLE DONDURMA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</si>
  <si>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t>2014-2015 SEZONU</t>
  </si>
  <si>
    <t>C 516</t>
  </si>
  <si>
    <t>LALIGA DOLGU 15</t>
  </si>
  <si>
    <t xml:space="preserve">C 544 </t>
  </si>
  <si>
    <t>ISPANYA OYUNCU</t>
  </si>
  <si>
    <t>E006</t>
  </si>
  <si>
    <r>
      <t>SAĞLIK BAKANLIĞI - NARGİLE ELMA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</si>
  <si>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t>C 342</t>
  </si>
  <si>
    <t>WTA MAGAZİNE 4</t>
  </si>
  <si>
    <t>beIN 2 // CANLI</t>
  </si>
  <si>
    <t>E007</t>
  </si>
  <si>
    <t>DARÜŞŞAFAKA 27 MAYIS SINAV - ANNE (KAMU SPOTU)</t>
  </si>
  <si>
    <t>E005</t>
  </si>
  <si>
    <r>
      <t>SAĞLIK BAKANLIĞI - NARGİLE ÇAY</t>
    </r>
    <r>
      <rPr>
        <b/>
        <sz val="11"/>
        <color rgb="FF800000"/>
        <rFont val="Times New Roman"/>
        <family val="1"/>
        <charset val="162"/>
      </rPr>
      <t xml:space="preserve"> (ZORUNLU)</t>
    </r>
  </si>
  <si>
    <r>
      <t>QUIZ (JAN VESELY)  *</t>
    </r>
    <r>
      <rPr>
        <b/>
        <sz val="11"/>
        <color rgb="FFFF0000"/>
        <rFont val="Times New Roman"/>
        <family val="1"/>
        <charset val="162"/>
      </rPr>
      <t xml:space="preserve">EPG YOLLANACAK </t>
    </r>
  </si>
  <si>
    <r>
      <t>STSL MAÇ ÖZETLERİ // 1 *</t>
    </r>
    <r>
      <rPr>
        <b/>
        <sz val="11"/>
        <color rgb="FFFF0000"/>
        <rFont val="Times New Roman"/>
        <family val="1"/>
        <charset val="162"/>
      </rPr>
      <t>EPG YOLLANACAK</t>
    </r>
  </si>
  <si>
    <t>C 711</t>
  </si>
  <si>
    <t>İSPANYA 1/2/3 (BEST PLAY)</t>
  </si>
  <si>
    <t>C 621</t>
  </si>
  <si>
    <t>LALIGA WORLD DOLGU -17</t>
  </si>
  <si>
    <r>
      <t xml:space="preserve">REK 14 </t>
    </r>
    <r>
      <rPr>
        <b/>
        <sz val="14"/>
        <color rgb="FFFF0000"/>
        <rFont val="Times New Roman"/>
        <family val="1"/>
        <charset val="162"/>
      </rPr>
      <t>(BSL CANLI OTURMASI İÇİN 16 SN LİK REKLAM ATILMASI GEREKLİ)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</si>
</sst>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:ss"/>
    <numFmt numFmtId="165" formatCode="dd/mm/yyyy;@"/>
  </numFmts>
  <fonts count="86">
    <font>
      <sz val="10"/>
      <name val="Helv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outline/>
      <shadow/>
      <sz val="30"/>
      <color indexed="12"/>
      <name val="Helv"/>
      <charset val="162"/>
    </font>
    <font>
      <sz val="8"/>
      <color indexed="8"/>
      <name val="Helv"/>
      <charset val="162"/>
    </font>
    <font>
      <b/>
      <sz val="20"/>
      <color indexed="12"/>
      <name val="Helv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b/>
      <sz val="11"/>
      <color indexed="8"/>
      <name val="Times New Roman"/>
      <family val="1"/>
      <charset val="162"/>
    </font>
    <font>
      <sz val="11"/>
      <name val="Helv"/>
      <charset val="162"/>
    </font>
    <font>
      <b/>
      <sz val="11"/>
      <name val="Helv"/>
      <charset val="162"/>
    </font>
    <font>
      <b/>
      <sz val="11"/>
      <color indexed="13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b/>
      <sz val="11"/>
      <color rgb="FFFFFFFF"/>
      <name val="Times New Roman"/>
      <family val="1"/>
      <charset val="162"/>
    </font>
    <font>
      <b/>
      <sz val="11"/>
      <color theme="0"/>
      <name val="Times New Roman"/>
      <family val="1"/>
      <charset val="162"/>
    </font>
    <font>
      <sz val="11"/>
      <color indexed="8"/>
      <name val="Times New Roman"/>
      <family val="1"/>
      <charset val="162"/>
    </font>
    <font>
      <sz val="11"/>
      <color rgb="FF800000"/>
      <name val="Helv"/>
      <charset val="162"/>
    </font>
    <font>
      <sz val="11"/>
      <color indexed="9"/>
      <name val="Times New Roman"/>
      <family val="1"/>
      <charset val="162"/>
    </font>
    <font>
      <sz val="11"/>
      <color indexed="10"/>
      <name val="Times New Roman"/>
      <family val="1"/>
      <charset val="162"/>
    </font>
    <font>
      <outline/>
      <shadow/>
      <sz val="11"/>
      <color indexed="12"/>
      <name val="Times New Roman"/>
      <family val="1"/>
      <charset val="162"/>
    </font>
    <font>
      <b/>
      <sz val="12"/>
      <color indexed="9"/>
      <name val="Times New Roman"/>
      <family val="1"/>
      <charset val="162"/>
    </font>
    <font>
      <b/>
      <sz val="28"/>
      <color theme="0"/>
      <name val="Times New Roman"/>
      <family val="1"/>
      <charset val="162"/>
    </font>
    <font>
      <sz val="12"/>
      <color rgb="FF444444"/>
      <name val="Arial"/>
      <family val="2"/>
      <charset val="162"/>
    </font>
    <font>
      <b/>
      <sz val="12"/>
      <color rgb="FF444444"/>
      <name val="Pt_sansbold"/>
    </font>
    <font>
      <sz val="12"/>
      <color rgb="FF222222"/>
      <name val="Arial"/>
      <family val="2"/>
      <charset val="162"/>
    </font>
    <font>
      <sz val="12"/>
      <name val="Arial"/>
      <family val="2"/>
      <charset val="162"/>
    </font>
    <font>
      <b/>
      <sz val="10"/>
      <color theme="1"/>
      <name val="Times New Roman"/>
      <family val="1"/>
      <charset val="162"/>
    </font>
    <font>
      <sz val="9"/>
      <name val="Times New Roman"/>
      <family val="1"/>
      <charset val="162"/>
    </font>
    <font>
      <b/>
      <sz val="11"/>
      <color rgb="FF7030A0"/>
      <name val="Times New Roman"/>
      <family val="1"/>
      <charset val="162"/>
    </font>
    <font>
      <b/>
      <sz val="10"/>
      <color rgb="FF7030A0"/>
      <name val="Times New Roman"/>
      <family val="1"/>
      <charset val="162"/>
    </font>
    <font>
      <b/>
      <sz val="11"/>
      <color rgb="FF000099"/>
      <name val="Times New Roman"/>
      <family val="1"/>
      <charset val="162"/>
    </font>
    <font>
      <b/>
      <sz val="26"/>
      <color theme="0"/>
      <name val="Times New Roman"/>
      <family val="1"/>
      <charset val="162"/>
    </font>
    <font>
      <sz val="11"/>
      <color rgb="FF000099"/>
      <name val="Calibri"/>
      <family val="2"/>
      <charset val="162"/>
    </font>
    <font>
      <b/>
      <sz val="9"/>
      <color rgb="FF000099"/>
      <name val="Times New Roman"/>
      <family val="1"/>
      <charset val="162"/>
    </font>
    <font>
      <sz val="12"/>
      <name val="Helv"/>
      <charset val="162"/>
    </font>
    <font>
      <b/>
      <sz val="12"/>
      <color theme="1"/>
      <name val="Times New Roman"/>
      <family val="1"/>
      <charset val="162"/>
    </font>
    <font>
      <b/>
      <sz val="12"/>
      <color theme="1"/>
      <name val="Helv"/>
      <charset val="162"/>
    </font>
    <font>
      <b/>
      <sz val="11"/>
      <color rgb="FFFF0000"/>
      <name val="Times New Roman"/>
      <family val="1"/>
      <charset val="162"/>
    </font>
    <font>
      <b/>
      <sz val="12"/>
      <name val="Helv"/>
      <charset val="162"/>
    </font>
    <font>
      <b/>
      <sz val="10"/>
      <color rgb="FFFF0000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b/>
      <sz val="11"/>
      <color rgb="FF7042F0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4"/>
      <color rgb="FF800000"/>
      <name val="Times New Roman"/>
      <family val="1"/>
      <charset val="162"/>
    </font>
    <font>
      <sz val="11"/>
      <color rgb="FFC00000"/>
      <name val="Helv"/>
      <charset val="162"/>
    </font>
    <font>
      <b/>
      <sz val="12"/>
      <color theme="0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11"/>
      <color rgb="FF800000"/>
      <name val="Times New Roman"/>
      <family val="1"/>
      <charset val="162"/>
    </font>
    <font>
      <b/>
      <sz val="11"/>
      <color rgb="FFC00000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2"/>
      <color rgb="FFFF0000"/>
      <name val="Helv"/>
      <charset val="162"/>
    </font>
    <font>
      <b/>
      <sz val="12"/>
      <color rgb="FFFF0000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b/>
      <sz val="12"/>
      <color rgb="FF800000"/>
      <name val="Times New Roman"/>
      <family val="1"/>
      <charset val="162"/>
    </font>
    <font>
      <sz val="12"/>
      <color rgb="FF800000"/>
      <name val="Helv"/>
      <charset val="162"/>
    </font>
    <font>
      <b/>
      <sz val="12"/>
      <color rgb="FF0D0D0D"/>
      <name val="Times New Roman"/>
      <family val="1"/>
      <charset val="162"/>
    </font>
    <font>
      <sz val="12"/>
      <color rgb="FF993300"/>
      <name val="Helv"/>
      <charset val="162"/>
    </font>
    <font>
      <sz val="12"/>
      <color rgb="FF800000"/>
      <name val="Times New Roman"/>
      <family val="1"/>
      <charset val="162"/>
    </font>
    <font>
      <sz val="12"/>
      <color rgb="FF993300"/>
      <name val="Times New Roman"/>
      <family val="1"/>
      <charset val="162"/>
    </font>
    <font>
      <b/>
      <sz val="12"/>
      <name val="Times"/>
      <family val="1"/>
      <charset val="162"/>
    </font>
    <font>
      <sz val="12"/>
      <color rgb="FFC00000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Cambria"/>
      <family val="1"/>
      <charset val="162"/>
    </font>
    <font>
      <b/>
      <sz val="14"/>
      <color theme="0"/>
      <name val="Times New Roman"/>
      <family val="1"/>
      <charset val="162"/>
    </font>
    <font>
      <b/>
      <sz val="14"/>
      <color theme="0"/>
      <name val="Arial"/>
      <family val="2"/>
      <charset val="162"/>
    </font>
    <font>
      <b/>
      <sz val="11"/>
      <color rgb="FF0000CC"/>
      <name val="Times New Roman"/>
      <family val="1"/>
      <charset val="162"/>
    </font>
    <font>
      <b/>
      <sz val="11"/>
      <color theme="1"/>
      <name val="Helv"/>
      <charset val="162"/>
    </font>
    <font>
      <sz val="11"/>
      <color theme="1"/>
      <name val="Helv"/>
      <charset val="162"/>
    </font>
    <font>
      <b/>
      <sz val="12"/>
      <color rgb="FFFFFFFF"/>
      <name val="Times New Roman"/>
      <family val="1"/>
      <charset val="162"/>
    </font>
    <font>
      <sz val="11"/>
      <color rgb="FF800000"/>
      <name val="Calibri"/>
      <family val="2"/>
      <charset val="162"/>
    </font>
    <font>
      <sz val="10"/>
      <color rgb="FF800000"/>
      <name val="Helv"/>
      <charset val="162"/>
    </font>
    <font>
      <b/>
      <sz val="14"/>
      <color rgb="FFFF0000"/>
      <name val="Times New Roman"/>
      <family val="1"/>
      <charset val="162"/>
    </font>
  </fonts>
  <fills count="19">
    <fill>
      <patternFill patternType="none"/>
    </fill>
    <fill>
      <patternFill patternType="gray125"/>
    </fill>
    <fill>
      <patternFill patternType="darkGrid">
        <fgColor indexed="11"/>
      </patternFill>
    </fill>
    <fill>
      <patternFill patternType="solid">
        <fgColor indexed="8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7830A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</borders>
  <cellStyleXfs count="90">
    <xf numFmtId="0" fontId="0" fillId="0" borderId="0" applyNumberFormat="0" applyFill="0" applyBorder="0" applyAlignment="0" applyProtection="0"/>
    <xf numFmtId="164" fontId="17" fillId="2" borderId="1" applyFill="0" applyBorder="0" applyAlignment="0" applyProtection="0">
      <alignment horizontal="left"/>
    </xf>
    <xf numFmtId="164" fontId="15" fillId="2" borderId="2" applyNumberFormat="0" applyFont="0" applyFill="0" applyAlignment="0" applyProtection="0">
      <alignment horizontal="left"/>
    </xf>
    <xf numFmtId="164" fontId="15" fillId="2" borderId="1" applyFont="0" applyFill="0" applyBorder="0" applyAlignment="0" applyProtection="0">
      <alignment horizontal="left"/>
    </xf>
    <xf numFmtId="164" fontId="15" fillId="2" borderId="3" applyNumberFormat="0" applyFont="0" applyFill="0" applyAlignment="0" applyProtection="0">
      <alignment horizontal="left"/>
    </xf>
    <xf numFmtId="164" fontId="16" fillId="2" borderId="1" applyFill="0" applyBorder="0" applyAlignment="0" applyProtection="0">
      <alignment horizontal="left"/>
    </xf>
    <xf numFmtId="164" fontId="15" fillId="2" borderId="1" applyFont="0" applyFill="0" applyBorder="0" applyAlignment="0" applyProtection="0">
      <alignment horizontal="left"/>
    </xf>
    <xf numFmtId="0" fontId="14" fillId="0" borderId="0"/>
    <xf numFmtId="21" fontId="17" fillId="2" borderId="1" applyFill="0" applyBorder="0" applyAlignment="0" applyProtection="0">
      <alignment horizontal="left"/>
    </xf>
    <xf numFmtId="21" fontId="15" fillId="2" borderId="2" applyNumberFormat="0" applyFont="0" applyFill="0" applyAlignment="0" applyProtection="0">
      <alignment horizontal="left"/>
    </xf>
    <xf numFmtId="21" fontId="15" fillId="2" borderId="1" applyFont="0" applyFill="0" applyBorder="0" applyAlignment="0" applyProtection="0">
      <alignment horizontal="left"/>
    </xf>
    <xf numFmtId="21" fontId="15" fillId="2" borderId="3" applyNumberFormat="0" applyFont="0" applyFill="0" applyAlignment="0" applyProtection="0">
      <alignment horizontal="left"/>
    </xf>
    <xf numFmtId="21" fontId="16" fillId="2" borderId="1" applyFill="0" applyBorder="0" applyAlignment="0" applyProtection="0">
      <alignment horizontal="left"/>
    </xf>
    <xf numFmtId="21" fontId="15" fillId="2" borderId="1" applyFont="0" applyFill="0" applyBorder="0" applyAlignment="0" applyProtection="0">
      <alignment horizontal="left"/>
    </xf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6">
    <xf numFmtId="0" fontId="0" fillId="0" borderId="0" xfId="0"/>
    <xf numFmtId="164" fontId="18" fillId="0" borderId="0" xfId="0" applyNumberFormat="1" applyFont="1" applyAlignment="1">
      <alignment horizontal="center" vertical="center"/>
    </xf>
    <xf numFmtId="21" fontId="18" fillId="0" borderId="0" xfId="3" applyNumberFormat="1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4" fontId="19" fillId="0" borderId="0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/>
    </xf>
    <xf numFmtId="21" fontId="19" fillId="0" borderId="0" xfId="3" applyNumberFormat="1" applyFont="1" applyFill="1" applyBorder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0" fillId="0" borderId="0" xfId="0" applyAlignment="1"/>
    <xf numFmtId="0" fontId="36" fillId="0" borderId="0" xfId="0" applyFont="1" applyAlignment="1"/>
    <xf numFmtId="0" fontId="39" fillId="0" borderId="0" xfId="0" applyFont="1" applyAlignment="1"/>
    <xf numFmtId="0" fontId="37" fillId="0" borderId="0" xfId="0" applyFont="1" applyAlignment="1"/>
    <xf numFmtId="0" fontId="38" fillId="9" borderId="7" xfId="0" applyFont="1" applyFill="1" applyBorder="1" applyAlignment="1">
      <alignment vertical="center"/>
    </xf>
    <xf numFmtId="164" fontId="19" fillId="0" borderId="0" xfId="0" applyNumberFormat="1" applyFont="1" applyBorder="1" applyAlignment="1">
      <alignment horizontal="center" vertical="center"/>
    </xf>
    <xf numFmtId="164" fontId="29" fillId="4" borderId="1" xfId="5" applyFont="1" applyFill="1" applyBorder="1" applyAlignment="1">
      <alignment horizontal="left" vertical="center"/>
    </xf>
    <xf numFmtId="164" fontId="19" fillId="0" borderId="4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21" fontId="19" fillId="0" borderId="0" xfId="0" applyNumberFormat="1" applyFont="1" applyFill="1" applyBorder="1" applyAlignment="1">
      <alignment horizontal="center" vertical="center"/>
    </xf>
    <xf numFmtId="0" fontId="31" fillId="0" borderId="0" xfId="0" applyFont="1" applyBorder="1" applyAlignment="1">
      <alignment vertical="center"/>
    </xf>
    <xf numFmtId="164" fontId="32" fillId="0" borderId="0" xfId="0" applyNumberFormat="1" applyFont="1" applyAlignment="1">
      <alignment horizontal="center" vertical="center"/>
    </xf>
    <xf numFmtId="21" fontId="19" fillId="0" borderId="4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164" fontId="33" fillId="10" borderId="1" xfId="0" applyNumberFormat="1" applyFont="1" applyFill="1" applyBorder="1" applyAlignment="1">
      <alignment horizontal="center" vertical="center"/>
    </xf>
    <xf numFmtId="21" fontId="18" fillId="10" borderId="1" xfId="3" applyNumberFormat="1" applyFont="1" applyFill="1" applyBorder="1" applyAlignment="1">
      <alignment horizontal="center" vertical="center"/>
    </xf>
    <xf numFmtId="164" fontId="19" fillId="10" borderId="1" xfId="0" applyNumberFormat="1" applyFont="1" applyFill="1" applyBorder="1" applyAlignment="1">
      <alignment horizontal="center" vertical="center"/>
    </xf>
    <xf numFmtId="0" fontId="18" fillId="10" borderId="1" xfId="0" applyNumberFormat="1" applyFont="1" applyFill="1" applyBorder="1" applyAlignment="1">
      <alignment horizontal="left" vertical="center"/>
    </xf>
    <xf numFmtId="0" fontId="35" fillId="10" borderId="0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4" fontId="45" fillId="10" borderId="6" xfId="0" applyNumberFormat="1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5" fillId="10" borderId="5" xfId="0" applyNumberFormat="1" applyFont="1" applyFill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4" fontId="21" fillId="0" borderId="0" xfId="3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21" fontId="26" fillId="8" borderId="0" xfId="0" applyNumberFormat="1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0" applyFont="1" applyFill="1" applyAlignment="1">
      <alignment vertical="center"/>
    </xf>
    <xf numFmtId="0" fontId="50" fillId="0" borderId="0" xfId="0" applyFont="1" applyFill="1" applyAlignment="1">
      <alignment vertical="center"/>
    </xf>
    <xf numFmtId="0" fontId="21" fillId="0" borderId="0" xfId="0" applyFont="1" applyFill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21" fontId="18" fillId="0" borderId="0" xfId="3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 applyAlignment="1"/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165" fontId="28" fillId="6" borderId="0" xfId="0" applyNumberFormat="1" applyFont="1" applyFill="1" applyAlignment="1">
      <alignment horizontal="center" vertical="center"/>
    </xf>
    <xf numFmtId="0" fontId="47" fillId="0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center" vertical="center"/>
    </xf>
    <xf numFmtId="14" fontId="19" fillId="8" borderId="0" xfId="0" applyNumberFormat="1" applyFont="1" applyFill="1" applyAlignment="1">
      <alignment horizontal="center" vertical="center"/>
    </xf>
    <xf numFmtId="0" fontId="57" fillId="5" borderId="0" xfId="0" applyFont="1" applyFill="1" applyAlignment="1">
      <alignment horizontal="center" vertical="center"/>
    </xf>
    <xf numFmtId="0" fontId="57" fillId="5" borderId="0" xfId="0" applyFont="1" applyFill="1" applyAlignment="1">
      <alignment vertical="center"/>
    </xf>
    <xf numFmtId="21" fontId="57" fillId="5" borderId="0" xfId="0" applyNumberFormat="1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21" fontId="42" fillId="0" borderId="0" xfId="0" applyNumberFormat="1" applyFont="1" applyFill="1" applyAlignment="1">
      <alignment horizontal="center" vertical="center"/>
    </xf>
    <xf numFmtId="14" fontId="26" fillId="8" borderId="0" xfId="0" applyNumberFormat="1" applyFont="1" applyFill="1" applyAlignment="1">
      <alignment horizontal="center" vertical="center"/>
    </xf>
    <xf numFmtId="0" fontId="46" fillId="0" borderId="0" xfId="0" applyFont="1" applyFill="1" applyAlignment="1">
      <alignment vertical="center"/>
    </xf>
    <xf numFmtId="21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0" fontId="44" fillId="0" borderId="0" xfId="0" applyFont="1" applyFill="1" applyAlignment="1">
      <alignment vertical="center"/>
    </xf>
    <xf numFmtId="21" fontId="44" fillId="0" borderId="0" xfId="0" applyNumberFormat="1" applyFont="1" applyFill="1" applyAlignment="1">
      <alignment horizontal="center" vertical="center"/>
    </xf>
    <xf numFmtId="0" fontId="53" fillId="0" borderId="0" xfId="0" applyFont="1" applyFill="1" applyAlignment="1">
      <alignment vertical="center"/>
    </xf>
    <xf numFmtId="165" fontId="54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9" fillId="11" borderId="0" xfId="0" applyFont="1" applyFill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21" fontId="55" fillId="0" borderId="0" xfId="0" applyNumberFormat="1" applyFont="1" applyAlignment="1">
      <alignment horizontal="center" vertical="center"/>
    </xf>
    <xf numFmtId="0" fontId="56" fillId="0" borderId="0" xfId="0" applyFont="1" applyFill="1" applyAlignment="1">
      <alignment horizontal="center" vertical="center"/>
    </xf>
    <xf numFmtId="21" fontId="19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26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18" fillId="8" borderId="0" xfId="0" applyFont="1" applyFill="1" applyAlignment="1">
      <alignment vertical="center"/>
    </xf>
    <xf numFmtId="0" fontId="27" fillId="7" borderId="0" xfId="0" applyFont="1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4" fillId="13" borderId="0" xfId="0" applyFont="1" applyFill="1" applyAlignment="1">
      <alignment vertical="center"/>
    </xf>
    <xf numFmtId="21" fontId="44" fillId="13" borderId="0" xfId="0" applyNumberFormat="1" applyFont="1" applyFill="1" applyAlignment="1">
      <alignment horizontal="center" vertical="center"/>
    </xf>
    <xf numFmtId="0" fontId="60" fillId="13" borderId="0" xfId="0" applyFont="1" applyFill="1" applyAlignment="1">
      <alignment vertical="center"/>
    </xf>
    <xf numFmtId="0" fontId="24" fillId="13" borderId="0" xfId="0" applyFont="1" applyFill="1" applyAlignment="1">
      <alignment vertical="center"/>
    </xf>
    <xf numFmtId="0" fontId="56" fillId="5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21" fontId="56" fillId="5" borderId="0" xfId="0" applyNumberFormat="1" applyFont="1" applyFill="1" applyAlignment="1">
      <alignment horizontal="center" vertical="center"/>
    </xf>
    <xf numFmtId="0" fontId="56" fillId="5" borderId="0" xfId="0" applyFont="1" applyFill="1" applyAlignment="1">
      <alignment vertical="center"/>
    </xf>
    <xf numFmtId="0" fontId="62" fillId="0" borderId="0" xfId="0" applyFont="1" applyAlignment="1">
      <alignment horizontal="center" vertical="center"/>
    </xf>
    <xf numFmtId="21" fontId="58" fillId="0" borderId="0" xfId="0" applyNumberFormat="1" applyFont="1" applyAlignment="1">
      <alignment horizontal="center" vertical="center"/>
    </xf>
    <xf numFmtId="21" fontId="62" fillId="0" borderId="0" xfId="3" applyNumberFormat="1" applyFont="1" applyFill="1" applyBorder="1" applyAlignment="1">
      <alignment horizontal="center" vertical="center"/>
    </xf>
    <xf numFmtId="165" fontId="62" fillId="0" borderId="0" xfId="0" applyNumberFormat="1" applyFont="1" applyAlignment="1">
      <alignment horizontal="center" vertical="center"/>
    </xf>
    <xf numFmtId="0" fontId="51" fillId="5" borderId="0" xfId="0" applyFont="1" applyFill="1" applyAlignment="1">
      <alignment horizontal="center" vertical="center"/>
    </xf>
    <xf numFmtId="0" fontId="51" fillId="5" borderId="0" xfId="0" applyFont="1" applyFill="1" applyAlignment="1">
      <alignment vertical="center"/>
    </xf>
    <xf numFmtId="21" fontId="51" fillId="5" borderId="0" xfId="0" applyNumberFormat="1" applyFont="1" applyFill="1" applyAlignment="1">
      <alignment horizontal="center" vertical="center"/>
    </xf>
    <xf numFmtId="21" fontId="21" fillId="0" borderId="0" xfId="0" applyNumberFormat="1" applyFont="1" applyAlignment="1">
      <alignment horizontal="center" vertical="center"/>
    </xf>
    <xf numFmtId="0" fontId="21" fillId="0" borderId="0" xfId="0" applyFont="1" applyFill="1" applyAlignment="1">
      <alignment vertical="center"/>
    </xf>
    <xf numFmtId="164" fontId="64" fillId="0" borderId="0" xfId="0" applyNumberFormat="1" applyFont="1" applyAlignment="1">
      <alignment horizontal="center" vertical="center"/>
    </xf>
    <xf numFmtId="0" fontId="65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15" fontId="21" fillId="0" borderId="0" xfId="0" applyNumberFormat="1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20" fillId="0" borderId="0" xfId="0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21" fontId="69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21" fontId="20" fillId="0" borderId="0" xfId="0" applyNumberFormat="1" applyFont="1" applyAlignment="1">
      <alignment horizontal="center" vertical="center"/>
    </xf>
    <xf numFmtId="21" fontId="71" fillId="0" borderId="0" xfId="3" applyNumberFormat="1" applyFont="1" applyFill="1" applyBorder="1" applyAlignment="1">
      <alignment horizontal="left" vertical="center"/>
    </xf>
    <xf numFmtId="164" fontId="72" fillId="0" borderId="0" xfId="3" applyNumberFormat="1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Fill="1" applyAlignment="1">
      <alignment horizontal="center" vertical="center"/>
    </xf>
    <xf numFmtId="164" fontId="48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21" fontId="49" fillId="0" borderId="0" xfId="0" applyNumberFormat="1" applyFont="1" applyAlignment="1">
      <alignment horizontal="center" vertical="center"/>
    </xf>
    <xf numFmtId="21" fontId="67" fillId="0" borderId="0" xfId="3" applyNumberFormat="1" applyFont="1" applyFill="1" applyBorder="1" applyAlignment="1">
      <alignment horizontal="left" vertical="center"/>
    </xf>
    <xf numFmtId="0" fontId="71" fillId="0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74" fillId="0" borderId="0" xfId="0" applyFont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21" fontId="21" fillId="0" borderId="0" xfId="0" applyNumberFormat="1" applyFont="1" applyFill="1" applyAlignment="1">
      <alignment horizontal="center" vertical="center"/>
    </xf>
    <xf numFmtId="0" fontId="63" fillId="0" borderId="0" xfId="0" applyFont="1" applyFill="1" applyAlignment="1">
      <alignment vertical="center"/>
    </xf>
    <xf numFmtId="0" fontId="75" fillId="0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21" fontId="19" fillId="5" borderId="0" xfId="0" applyNumberFormat="1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15" borderId="0" xfId="0" applyFont="1" applyFill="1" applyAlignment="1">
      <alignment horizontal="center" vertical="center"/>
    </xf>
    <xf numFmtId="0" fontId="77" fillId="15" borderId="0" xfId="0" applyFont="1" applyFill="1" applyAlignment="1">
      <alignment vertical="center"/>
    </xf>
    <xf numFmtId="21" fontId="77" fillId="15" borderId="0" xfId="0" applyNumberFormat="1" applyFont="1" applyFill="1" applyAlignment="1">
      <alignment horizontal="center" vertical="center"/>
    </xf>
    <xf numFmtId="0" fontId="78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15" fontId="47" fillId="0" borderId="0" xfId="0" applyNumberFormat="1" applyFont="1" applyFill="1" applyAlignment="1">
      <alignment horizontal="center" vertical="center"/>
    </xf>
    <xf numFmtId="0" fontId="42" fillId="0" borderId="0" xfId="0" applyFont="1" applyFill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22" fontId="47" fillId="0" borderId="0" xfId="0" applyNumberFormat="1" applyFont="1" applyFill="1" applyAlignment="1">
      <alignment horizontal="center" vertical="center"/>
    </xf>
    <xf numFmtId="0" fontId="79" fillId="16" borderId="0" xfId="0" applyFont="1" applyFill="1" applyAlignment="1">
      <alignment vertical="center"/>
    </xf>
    <xf numFmtId="164" fontId="18" fillId="0" borderId="0" xfId="3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56" fillId="17" borderId="0" xfId="0" applyFont="1" applyFill="1" applyAlignment="1">
      <alignment horizontal="center" vertical="center"/>
    </xf>
    <xf numFmtId="0" fontId="56" fillId="17" borderId="0" xfId="0" applyFont="1" applyFill="1" applyAlignment="1">
      <alignment vertical="center"/>
    </xf>
    <xf numFmtId="21" fontId="56" fillId="17" borderId="0" xfId="0" applyNumberFormat="1" applyFont="1" applyFill="1" applyAlignment="1">
      <alignment horizontal="center" vertical="center"/>
    </xf>
    <xf numFmtId="165" fontId="80" fillId="17" borderId="0" xfId="0" applyNumberFormat="1" applyFont="1" applyFill="1" applyAlignment="1">
      <alignment vertical="center"/>
    </xf>
    <xf numFmtId="0" fontId="81" fillId="0" borderId="0" xfId="0" applyFont="1" applyAlignment="1"/>
    <xf numFmtId="0" fontId="58" fillId="0" borderId="0" xfId="0" applyFont="1" applyAlignment="1"/>
    <xf numFmtId="0" fontId="44" fillId="18" borderId="0" xfId="0" applyFont="1" applyFill="1" applyAlignment="1">
      <alignment horizontal="center" vertical="center"/>
    </xf>
    <xf numFmtId="0" fontId="44" fillId="18" borderId="0" xfId="0" applyFont="1" applyFill="1" applyAlignment="1">
      <alignment vertical="center"/>
    </xf>
    <xf numFmtId="21" fontId="44" fillId="18" borderId="0" xfId="0" applyNumberFormat="1" applyFont="1" applyFill="1" applyAlignment="1">
      <alignment horizontal="center" vertical="center"/>
    </xf>
    <xf numFmtId="0" fontId="60" fillId="18" borderId="0" xfId="0" applyFont="1" applyFill="1" applyAlignment="1">
      <alignment vertical="center"/>
    </xf>
    <xf numFmtId="165" fontId="24" fillId="18" borderId="0" xfId="0" applyNumberFormat="1" applyFont="1" applyFill="1" applyAlignment="1">
      <alignment vertical="center"/>
    </xf>
    <xf numFmtId="165" fontId="82" fillId="7" borderId="0" xfId="0" applyNumberFormat="1" applyFont="1" applyFill="1" applyAlignment="1">
      <alignment horizontal="center" vertical="center"/>
    </xf>
    <xf numFmtId="0" fontId="75" fillId="0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83" fillId="0" borderId="0" xfId="0" applyFont="1" applyAlignment="1">
      <alignment vertical="center"/>
    </xf>
    <xf numFmtId="0" fontId="84" fillId="0" borderId="0" xfId="0" applyFont="1"/>
    <xf numFmtId="165" fontId="23" fillId="0" borderId="0" xfId="0" applyNumberFormat="1" applyFont="1"/>
    <xf numFmtId="165" fontId="24" fillId="13" borderId="0" xfId="0" applyNumberFormat="1" applyFont="1" applyFill="1" applyAlignment="1">
      <alignment vertical="center"/>
    </xf>
  </cellXfs>
  <cellStyles count="90">
    <cellStyle name="Buyuk" xfId="1"/>
    <cellStyle name="Buyuk 2" xfId="8"/>
    <cellStyle name="Contourpointille" xfId="2"/>
    <cellStyle name="Contourpointille 2" xfId="9"/>
    <cellStyle name="h:mm:ss" xfId="6"/>
    <cellStyle name="h:mm:ss 2" xfId="13"/>
    <cellStyle name="hh:mm:ss" xfId="3"/>
    <cellStyle name="hh:mm:ss 2" xfId="10"/>
    <cellStyle name="Konturgras" xfId="4"/>
    <cellStyle name="Konturgras 2" xfId="11"/>
    <cellStyle name="Kucuk" xfId="5"/>
    <cellStyle name="Kucuk 2" xfId="12"/>
    <cellStyle name="Normal" xfId="0" builtinId="0"/>
    <cellStyle name="Normal 2" xfId="7"/>
    <cellStyle name="Normal 2 10" xfId="22"/>
    <cellStyle name="Normal 2 10 2" xfId="32"/>
    <cellStyle name="Normal 2 10 2 2" xfId="70"/>
    <cellStyle name="Normal 2 10 3" xfId="60"/>
    <cellStyle name="Normal 2 11" xfId="23"/>
    <cellStyle name="Normal 2 11 2" xfId="61"/>
    <cellStyle name="Normal 2 12" xfId="33"/>
    <cellStyle name="Normal 2 12 2" xfId="71"/>
    <cellStyle name="Normal 2 13" xfId="42"/>
    <cellStyle name="Normal 2 13 2" xfId="80"/>
    <cellStyle name="Normal 2 14" xfId="89"/>
    <cellStyle name="Normal 2 15" xfId="51"/>
    <cellStyle name="Normal 2 2" xfId="14"/>
    <cellStyle name="Normal 2 2 2" xfId="24"/>
    <cellStyle name="Normal 2 2 2 2" xfId="62"/>
    <cellStyle name="Normal 2 2 3" xfId="34"/>
    <cellStyle name="Normal 2 2 3 2" xfId="72"/>
    <cellStyle name="Normal 2 2 4" xfId="43"/>
    <cellStyle name="Normal 2 2 4 2" xfId="81"/>
    <cellStyle name="Normal 2 2 5" xfId="52"/>
    <cellStyle name="Normal 2 3" xfId="15"/>
    <cellStyle name="Normal 2 3 2" xfId="25"/>
    <cellStyle name="Normal 2 3 2 2" xfId="63"/>
    <cellStyle name="Normal 2 3 3" xfId="35"/>
    <cellStyle name="Normal 2 3 3 2" xfId="73"/>
    <cellStyle name="Normal 2 3 4" xfId="44"/>
    <cellStyle name="Normal 2 3 4 2" xfId="82"/>
    <cellStyle name="Normal 2 3 5" xfId="53"/>
    <cellStyle name="Normal 2 4" xfId="16"/>
    <cellStyle name="Normal 2 4 2" xfId="26"/>
    <cellStyle name="Normal 2 4 2 2" xfId="64"/>
    <cellStyle name="Normal 2 4 3" xfId="36"/>
    <cellStyle name="Normal 2 4 3 2" xfId="74"/>
    <cellStyle name="Normal 2 4 4" xfId="45"/>
    <cellStyle name="Normal 2 4 4 2" xfId="83"/>
    <cellStyle name="Normal 2 4 5" xfId="54"/>
    <cellStyle name="Normal 2 5" xfId="17"/>
    <cellStyle name="Normal 2 5 2" xfId="27"/>
    <cellStyle name="Normal 2 5 2 2" xfId="65"/>
    <cellStyle name="Normal 2 5 3" xfId="37"/>
    <cellStyle name="Normal 2 5 3 2" xfId="75"/>
    <cellStyle name="Normal 2 5 4" xfId="46"/>
    <cellStyle name="Normal 2 5 4 2" xfId="84"/>
    <cellStyle name="Normal 2 5 5" xfId="55"/>
    <cellStyle name="Normal 2 6" xfId="18"/>
    <cellStyle name="Normal 2 6 2" xfId="28"/>
    <cellStyle name="Normal 2 6 2 2" xfId="66"/>
    <cellStyle name="Normal 2 6 3" xfId="38"/>
    <cellStyle name="Normal 2 6 3 2" xfId="76"/>
    <cellStyle name="Normal 2 6 4" xfId="47"/>
    <cellStyle name="Normal 2 6 4 2" xfId="85"/>
    <cellStyle name="Normal 2 6 5" xfId="56"/>
    <cellStyle name="Normal 2 7" xfId="19"/>
    <cellStyle name="Normal 2 7 2" xfId="29"/>
    <cellStyle name="Normal 2 7 2 2" xfId="67"/>
    <cellStyle name="Normal 2 7 3" xfId="39"/>
    <cellStyle name="Normal 2 7 3 2" xfId="77"/>
    <cellStyle name="Normal 2 7 4" xfId="48"/>
    <cellStyle name="Normal 2 7 4 2" xfId="86"/>
    <cellStyle name="Normal 2 7 5" xfId="57"/>
    <cellStyle name="Normal 2 8" xfId="20"/>
    <cellStyle name="Normal 2 8 2" xfId="30"/>
    <cellStyle name="Normal 2 8 2 2" xfId="68"/>
    <cellStyle name="Normal 2 8 3" xfId="40"/>
    <cellStyle name="Normal 2 8 3 2" xfId="78"/>
    <cellStyle name="Normal 2 8 4" xfId="49"/>
    <cellStyle name="Normal 2 8 4 2" xfId="87"/>
    <cellStyle name="Normal 2 8 5" xfId="58"/>
    <cellStyle name="Normal 2 9" xfId="21"/>
    <cellStyle name="Normal 2 9 2" xfId="31"/>
    <cellStyle name="Normal 2 9 2 2" xfId="69"/>
    <cellStyle name="Normal 2 9 3" xfId="41"/>
    <cellStyle name="Normal 2 9 3 2" xfId="79"/>
    <cellStyle name="Normal 2 9 4" xfId="50"/>
    <cellStyle name="Normal 2 9 4 2" xfId="88"/>
    <cellStyle name="Normal 2 9 5" xfId="59"/>
  </cellStyles>
  <dxfs count="0"/>
  <tableStyles count="0" defaultTableStyle="TableStyleMedium9" defaultPivotStyle="PivotStyleLight16"/>
  <colors>
    <mruColors>
      <color rgb="FFFB75C2"/>
      <color rgb="FF800000"/>
      <color rgb="FF000099"/>
      <color rgb="FFECC314"/>
      <color rgb="FFAFB14F"/>
      <color rgb="FF5FF20E"/>
      <color rgb="FF9FE6FF"/>
      <color rgb="FFC6DE92"/>
      <color rgb="FF9BBC32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22102" name="Drawing 1"/>
        <xdr:cNvSpPr>
          <a:spLocks/>
        </xdr:cNvSpPr>
      </xdr:nvSpPr>
      <xdr:spPr bwMode="auto">
        <a:xfrm>
          <a:off x="16744950" y="38100"/>
          <a:ext cx="17592675" cy="79057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5" name="Drawing 1"/>
        <xdr:cNvSpPr>
          <a:spLocks/>
        </xdr:cNvSpPr>
      </xdr:nvSpPr>
      <xdr:spPr bwMode="auto">
        <a:xfrm>
          <a:off x="18992850" y="38100"/>
          <a:ext cx="17592675" cy="838200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4" name="Drawing 1"/>
        <xdr:cNvSpPr>
          <a:spLocks/>
        </xdr:cNvSpPr>
      </xdr:nvSpPr>
      <xdr:spPr bwMode="auto">
        <a:xfrm>
          <a:off x="17745075" y="38100"/>
          <a:ext cx="17592675" cy="96202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6" name="Drawing 1"/>
        <xdr:cNvSpPr>
          <a:spLocks/>
        </xdr:cNvSpPr>
      </xdr:nvSpPr>
      <xdr:spPr bwMode="auto">
        <a:xfrm>
          <a:off x="17745075" y="38100"/>
          <a:ext cx="17592675" cy="96202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9" name="Drawing 1"/>
        <xdr:cNvSpPr>
          <a:spLocks/>
        </xdr:cNvSpPr>
      </xdr:nvSpPr>
      <xdr:spPr bwMode="auto">
        <a:xfrm>
          <a:off x="17745075" y="38100"/>
          <a:ext cx="17592675" cy="96202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9525</xdr:colOff>
      <xdr:row>0</xdr:row>
      <xdr:rowOff>38100</xdr:rowOff>
    </xdr:from>
    <xdr:to>
      <xdr:col>18</xdr:col>
      <xdr:colOff>114300</xdr:colOff>
      <xdr:row>2</xdr:row>
      <xdr:rowOff>0</xdr:rowOff>
    </xdr:to>
    <xdr:sp macro="" textlink="">
      <xdr:nvSpPr>
        <xdr:cNvPr id="10" name="Drawing 1"/>
        <xdr:cNvSpPr>
          <a:spLocks/>
        </xdr:cNvSpPr>
      </xdr:nvSpPr>
      <xdr:spPr bwMode="auto">
        <a:xfrm>
          <a:off x="17745075" y="38100"/>
          <a:ext cx="17592675" cy="962025"/>
        </a:xfrm>
        <a:custGeom>
          <a:avLst/>
          <a:gdLst>
            <a:gd name="T0" fmla="*/ 2147483647 w 16384"/>
            <a:gd name="T1" fmla="*/ 0 h 16384"/>
            <a:gd name="T2" fmla="*/ 0 w 16384"/>
            <a:gd name="T3" fmla="*/ 2147483647 h 16384"/>
            <a:gd name="T4" fmla="*/ 2147483647 w 16384"/>
            <a:gd name="T5" fmla="*/ 2147483647 h 16384"/>
            <a:gd name="T6" fmla="*/ 2147483647 w 16384"/>
            <a:gd name="T7" fmla="*/ 2147483647 h 16384"/>
            <a:gd name="T8" fmla="*/ 2147483647 w 16384"/>
            <a:gd name="T9" fmla="*/ 2147483647 h 16384"/>
            <a:gd name="T10" fmla="*/ 2147483647 w 16384"/>
            <a:gd name="T11" fmla="*/ 2147483647 h 16384"/>
            <a:gd name="T12" fmla="*/ 2147483647 w 16384"/>
            <a:gd name="T13" fmla="*/ 2147483647 h 16384"/>
            <a:gd name="T14" fmla="*/ 2147483647 w 16384"/>
            <a:gd name="T15" fmla="*/ 2147483647 h 16384"/>
            <a:gd name="T16" fmla="*/ 2147483647 w 16384"/>
            <a:gd name="T17" fmla="*/ 2147483647 h 16384"/>
            <a:gd name="T18" fmla="*/ 2147483647 w 16384"/>
            <a:gd name="T19" fmla="*/ 2147483647 h 16384"/>
            <a:gd name="T20" fmla="*/ 2147483647 w 16384"/>
            <a:gd name="T21" fmla="*/ 2147483647 h 16384"/>
            <a:gd name="T22" fmla="*/ 2147483647 w 16384"/>
            <a:gd name="T23" fmla="*/ 2147483647 h 16384"/>
            <a:gd name="T24" fmla="*/ 2147483647 w 16384"/>
            <a:gd name="T25" fmla="*/ 2147483647 h 16384"/>
            <a:gd name="T26" fmla="*/ 2147483647 w 16384"/>
            <a:gd name="T27" fmla="*/ 0 h 16384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  <a:gd name="T39" fmla="*/ 0 60000 65536"/>
            <a:gd name="T40" fmla="*/ 0 60000 65536"/>
            <a:gd name="T41" fmla="*/ 0 60000 65536"/>
            <a:gd name="T42" fmla="*/ 0 w 16384"/>
            <a:gd name="T43" fmla="*/ 0 h 16384"/>
            <a:gd name="T44" fmla="*/ 16384 w 16384"/>
            <a:gd name="T45" fmla="*/ 16384 h 16384"/>
          </a:gdLst>
          <a:ahLst/>
          <a:cxnLst>
            <a:cxn ang="T28">
              <a:pos x="T0" y="T1"/>
            </a:cxn>
            <a:cxn ang="T29">
              <a:pos x="T2" y="T3"/>
            </a:cxn>
            <a:cxn ang="T30">
              <a:pos x="T4" y="T5"/>
            </a:cxn>
            <a:cxn ang="T31">
              <a:pos x="T6" y="T7"/>
            </a:cxn>
            <a:cxn ang="T32">
              <a:pos x="T8" y="T9"/>
            </a:cxn>
            <a:cxn ang="T33">
              <a:pos x="T10" y="T11"/>
            </a:cxn>
            <a:cxn ang="T34">
              <a:pos x="T12" y="T13"/>
            </a:cxn>
            <a:cxn ang="T35">
              <a:pos x="T14" y="T15"/>
            </a:cxn>
            <a:cxn ang="T36">
              <a:pos x="T16" y="T17"/>
            </a:cxn>
            <a:cxn ang="T37">
              <a:pos x="T18" y="T19"/>
            </a:cxn>
            <a:cxn ang="T38">
              <a:pos x="T20" y="T21"/>
            </a:cxn>
            <a:cxn ang="T39">
              <a:pos x="T22" y="T23"/>
            </a:cxn>
            <a:cxn ang="T40">
              <a:pos x="T24" y="T25"/>
            </a:cxn>
            <a:cxn ang="T41">
              <a:pos x="T26" y="T27"/>
            </a:cxn>
          </a:cxnLst>
          <a:rect l="T42" t="T43" r="T44" b="T45"/>
          <a:pathLst>
            <a:path w="16384" h="16384">
              <a:moveTo>
                <a:pt x="4665" y="0"/>
              </a:moveTo>
              <a:lnTo>
                <a:pt x="0" y="7944"/>
              </a:lnTo>
              <a:lnTo>
                <a:pt x="4721" y="16384"/>
              </a:lnTo>
              <a:lnTo>
                <a:pt x="4721" y="11419"/>
              </a:lnTo>
              <a:lnTo>
                <a:pt x="16328" y="11419"/>
              </a:lnTo>
              <a:lnTo>
                <a:pt x="16328" y="9433"/>
              </a:lnTo>
              <a:lnTo>
                <a:pt x="4665" y="9433"/>
              </a:lnTo>
              <a:lnTo>
                <a:pt x="4665" y="6703"/>
              </a:lnTo>
              <a:lnTo>
                <a:pt x="16051" y="6703"/>
              </a:lnTo>
              <a:lnTo>
                <a:pt x="16051" y="9433"/>
              </a:lnTo>
              <a:lnTo>
                <a:pt x="16328" y="9433"/>
              </a:lnTo>
              <a:lnTo>
                <a:pt x="16384" y="4717"/>
              </a:lnTo>
              <a:lnTo>
                <a:pt x="4665" y="4717"/>
              </a:lnTo>
              <a:lnTo>
                <a:pt x="4665" y="0"/>
              </a:lnTo>
              <a:close/>
            </a:path>
          </a:pathLst>
        </a:custGeom>
        <a:pattFill prst="pct5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C00000"/>
  </sheetPr>
  <dimension ref="A1:Z1779"/>
  <sheetViews>
    <sheetView tabSelected="1" topLeftCell="B270" zoomScale="84" zoomScaleNormal="84" zoomScaleSheetLayoutView="150" workbookViewId="0">
      <selection activeCell="F75" sqref="F75:F284"/>
    </sheetView>
  </sheetViews>
  <sheetFormatPr defaultColWidth="11.42578125" defaultRowHeight="19.5" customHeight="1"/>
  <cols>
    <col min="1" max="1" width="17.28515625" style="46" hidden="1" customWidth="1"/>
    <col min="2" max="2" width="13" style="47" customWidth="1"/>
    <col min="3" max="3" width="14.5703125" style="47" customWidth="1"/>
    <col min="4" max="4" width="95.7109375" style="4" customWidth="1"/>
    <col min="5" max="5" width="16" style="1" customWidth="1"/>
    <col min="6" max="6" width="16.28515625" style="2" customWidth="1"/>
    <col min="7" max="7" width="15.42578125" style="1" customWidth="1"/>
    <col min="8" max="8" width="20.85546875" style="40" customWidth="1"/>
    <col min="9" max="9" width="14.28515625" style="46" customWidth="1"/>
    <col min="10" max="16" width="11.42578125" style="46" customWidth="1"/>
    <col min="17" max="17" width="1.85546875" style="46" customWidth="1"/>
    <col min="18" max="18" width="249" style="46" customWidth="1"/>
    <col min="19" max="19" width="73.85546875" style="46" customWidth="1"/>
    <col min="20" max="16384" width="11.42578125" style="46"/>
  </cols>
  <sheetData>
    <row r="1" spans="1:19" s="81" customFormat="1" ht="37.5" customHeight="1" thickBot="1">
      <c r="A1" s="31" t="s">
        <v>2</v>
      </c>
      <c r="B1" s="6" t="s">
        <v>6</v>
      </c>
      <c r="C1" s="89"/>
      <c r="D1" s="37" t="s">
        <v>102</v>
      </c>
      <c r="E1" s="20"/>
      <c r="F1" s="9"/>
      <c r="G1" s="61"/>
      <c r="H1" s="68"/>
    </row>
    <row r="2" spans="1:19" s="81" customFormat="1" ht="41.25" customHeight="1" thickTop="1" thickBot="1">
      <c r="A2" s="21" t="s">
        <v>7</v>
      </c>
      <c r="B2" s="32"/>
      <c r="C2" s="33"/>
      <c r="D2" s="39" t="s">
        <v>149</v>
      </c>
      <c r="E2" s="35"/>
      <c r="F2" s="34"/>
      <c r="G2" s="36"/>
      <c r="H2" s="41"/>
    </row>
    <row r="3" spans="1:19" s="81" customFormat="1" ht="19.5" customHeight="1" thickTop="1">
      <c r="A3" s="8" t="s">
        <v>0</v>
      </c>
      <c r="B3" s="7" t="s">
        <v>4</v>
      </c>
      <c r="C3" s="8" t="s">
        <v>1</v>
      </c>
      <c r="D3" s="3"/>
      <c r="E3" s="22" t="s">
        <v>8</v>
      </c>
      <c r="F3" s="30"/>
      <c r="G3" s="22" t="s">
        <v>5</v>
      </c>
      <c r="H3" s="42" t="s">
        <v>3</v>
      </c>
      <c r="I3" s="23"/>
      <c r="J3" s="24"/>
      <c r="K3" s="25"/>
      <c r="L3" s="26"/>
      <c r="M3" s="24"/>
      <c r="N3" s="25"/>
      <c r="O3" s="20"/>
      <c r="P3" s="27"/>
      <c r="Q3" s="28"/>
      <c r="R3" s="23"/>
    </row>
    <row r="4" spans="1:19" s="81" customFormat="1" ht="19.5" customHeight="1">
      <c r="A4" s="44"/>
      <c r="B4" s="89"/>
      <c r="C4" s="89"/>
      <c r="D4" s="10" t="s">
        <v>104</v>
      </c>
      <c r="E4" s="29"/>
      <c r="F4" s="9"/>
      <c r="G4" s="5"/>
      <c r="H4" s="68"/>
    </row>
    <row r="5" spans="1:19" s="81" customFormat="1" ht="18.75" customHeight="1">
      <c r="A5" s="44"/>
      <c r="B5" s="88"/>
      <c r="C5" s="89"/>
      <c r="D5" s="29"/>
      <c r="E5" s="29"/>
      <c r="F5" s="9"/>
      <c r="G5" s="5"/>
      <c r="H5" s="68"/>
    </row>
    <row r="6" spans="1:19" s="81" customFormat="1" ht="19.5" customHeight="1">
      <c r="B6" s="88">
        <v>0.99997685185185192</v>
      </c>
      <c r="C6" s="111" t="s">
        <v>9</v>
      </c>
      <c r="D6" s="112" t="s">
        <v>125</v>
      </c>
      <c r="E6" s="111" t="s">
        <v>107</v>
      </c>
      <c r="F6" s="113">
        <v>3.0092592592592595E-4</v>
      </c>
      <c r="G6" s="114"/>
      <c r="H6" s="115"/>
    </row>
    <row r="7" spans="1:19" s="80" customFormat="1" ht="19.5" customHeight="1">
      <c r="A7" s="65"/>
      <c r="B7" s="88">
        <f t="shared" ref="B7:B55" si="0">B6+F6</f>
        <v>1.0002777777777778</v>
      </c>
      <c r="C7" s="120"/>
      <c r="D7" s="117" t="s">
        <v>112</v>
      </c>
      <c r="E7" s="121"/>
      <c r="F7" s="122"/>
      <c r="G7" s="121"/>
      <c r="H7" s="123"/>
      <c r="I7" s="81"/>
    </row>
    <row r="8" spans="1:19" s="81" customFormat="1" ht="19.5" customHeight="1">
      <c r="B8" s="88">
        <f t="shared" si="0"/>
        <v>1.0002777777777778</v>
      </c>
      <c r="C8" s="160" t="s">
        <v>10</v>
      </c>
      <c r="D8" s="108" t="s">
        <v>126</v>
      </c>
      <c r="E8" s="161">
        <v>0</v>
      </c>
      <c r="F8" s="161">
        <f t="shared" ref="F8" si="1">G8-E8</f>
        <v>4.010416666666667E-2</v>
      </c>
      <c r="G8" s="161">
        <v>4.010416666666667E-2</v>
      </c>
      <c r="H8" s="71" t="s">
        <v>103</v>
      </c>
    </row>
    <row r="9" spans="1:19" s="53" customFormat="1" ht="22.5" customHeight="1">
      <c r="B9" s="88">
        <f t="shared" si="0"/>
        <v>1.0403819444444444</v>
      </c>
      <c r="C9" s="56" t="s">
        <v>138</v>
      </c>
      <c r="D9" s="128" t="s">
        <v>160</v>
      </c>
      <c r="E9" s="56"/>
      <c r="F9" s="127">
        <v>7.0601851851851847E-4</v>
      </c>
      <c r="G9" s="130"/>
      <c r="H9" s="131"/>
    </row>
    <row r="10" spans="1:19" s="81" customFormat="1" ht="19.5" customHeight="1">
      <c r="B10" s="88">
        <f t="shared" si="0"/>
        <v>1.041087962962963</v>
      </c>
      <c r="C10" s="160" t="s">
        <v>10</v>
      </c>
      <c r="D10" s="108" t="s">
        <v>132</v>
      </c>
      <c r="E10" s="161">
        <v>0</v>
      </c>
      <c r="F10" s="161">
        <f t="shared" ref="F10:F13" si="2">G10-E10</f>
        <v>1.2916666666666667E-2</v>
      </c>
      <c r="G10" s="161">
        <v>1.2916666666666667E-2</v>
      </c>
      <c r="H10" s="71" t="s">
        <v>103</v>
      </c>
    </row>
    <row r="11" spans="1:19" s="53" customFormat="1" ht="22.5" customHeight="1">
      <c r="B11" s="88">
        <f t="shared" si="0"/>
        <v>1.0540046296296297</v>
      </c>
      <c r="C11" s="56" t="s">
        <v>139</v>
      </c>
      <c r="D11" s="128" t="s">
        <v>161</v>
      </c>
      <c r="E11" s="56"/>
      <c r="F11" s="127">
        <v>4.0509259259259258E-4</v>
      </c>
      <c r="G11" s="132"/>
      <c r="H11" s="132"/>
    </row>
    <row r="12" spans="1:19" s="57" customFormat="1" ht="22.5" customHeight="1">
      <c r="B12" s="88">
        <f t="shared" si="0"/>
        <v>1.0544097222222224</v>
      </c>
      <c r="C12" s="56" t="s">
        <v>162</v>
      </c>
      <c r="D12" s="128" t="s">
        <v>163</v>
      </c>
      <c r="E12" s="133"/>
      <c r="F12" s="127">
        <v>4.3981481481481481E-4</v>
      </c>
      <c r="G12" s="134"/>
      <c r="H12" s="134"/>
      <c r="I12" s="135"/>
    </row>
    <row r="13" spans="1:19" s="81" customFormat="1" ht="19.5" customHeight="1">
      <c r="B13" s="88">
        <f t="shared" si="0"/>
        <v>1.0548495370370372</v>
      </c>
      <c r="C13" s="160" t="s">
        <v>10</v>
      </c>
      <c r="D13" s="108" t="s">
        <v>133</v>
      </c>
      <c r="E13" s="161">
        <v>0</v>
      </c>
      <c r="F13" s="161">
        <f t="shared" si="2"/>
        <v>4.9305555555555552E-3</v>
      </c>
      <c r="G13" s="161">
        <v>4.9305555555555552E-3</v>
      </c>
      <c r="H13" s="71" t="s">
        <v>103</v>
      </c>
    </row>
    <row r="14" spans="1:19" s="141" customFormat="1" ht="22.5" customHeight="1">
      <c r="B14" s="88">
        <f t="shared" si="0"/>
        <v>1.0597800925925929</v>
      </c>
      <c r="C14" s="136" t="s">
        <v>165</v>
      </c>
      <c r="D14" s="142" t="s">
        <v>166</v>
      </c>
      <c r="E14" s="133"/>
      <c r="F14" s="143">
        <v>3.9351851851851852E-4</v>
      </c>
      <c r="G14" s="144"/>
      <c r="H14" s="140"/>
      <c r="I14" s="67"/>
      <c r="Q14" s="145"/>
      <c r="R14" s="145"/>
      <c r="S14" s="146"/>
    </row>
    <row r="15" spans="1:19" s="78" customFormat="1" ht="19.5" customHeight="1">
      <c r="B15" s="88">
        <f t="shared" si="0"/>
        <v>1.0601736111111113</v>
      </c>
      <c r="C15" s="106" t="s">
        <v>227</v>
      </c>
      <c r="D15" s="105" t="s">
        <v>228</v>
      </c>
      <c r="E15" s="109"/>
      <c r="F15" s="52">
        <v>1.9791666666666668E-3</v>
      </c>
      <c r="G15" s="109"/>
      <c r="H15" s="86">
        <v>41567</v>
      </c>
    </row>
    <row r="16" spans="1:19" s="53" customFormat="1" ht="22.5" customHeight="1">
      <c r="B16" s="88">
        <f t="shared" si="0"/>
        <v>1.0621527777777779</v>
      </c>
      <c r="C16" s="136" t="s">
        <v>113</v>
      </c>
      <c r="D16" s="137" t="s">
        <v>164</v>
      </c>
      <c r="E16" s="67"/>
      <c r="F16" s="138">
        <v>1.9675925925925926E-4</v>
      </c>
      <c r="G16" s="139"/>
      <c r="H16" s="140"/>
      <c r="I16" s="67"/>
      <c r="J16" s="50"/>
    </row>
    <row r="17" spans="1:8" s="80" customFormat="1" ht="19.5" customHeight="1">
      <c r="A17" s="79"/>
      <c r="B17" s="88">
        <f t="shared" si="0"/>
        <v>1.0623495370370373</v>
      </c>
      <c r="C17" s="99" t="s">
        <v>9</v>
      </c>
      <c r="D17" s="100" t="s">
        <v>128</v>
      </c>
      <c r="E17" s="99" t="s">
        <v>107</v>
      </c>
      <c r="F17" s="101">
        <v>1.7361111111111112E-4</v>
      </c>
      <c r="G17" s="102"/>
      <c r="H17" s="89"/>
    </row>
    <row r="18" spans="1:8" s="81" customFormat="1" ht="19.5" customHeight="1">
      <c r="B18" s="88">
        <f t="shared" si="0"/>
        <v>1.0625231481481483</v>
      </c>
      <c r="C18" s="160" t="s">
        <v>10</v>
      </c>
      <c r="D18" s="108" t="s">
        <v>134</v>
      </c>
      <c r="E18" s="161">
        <v>0</v>
      </c>
      <c r="F18" s="161">
        <f>G18-E18</f>
        <v>1.9305555555555555E-2</v>
      </c>
      <c r="G18" s="161">
        <v>1.9305555555555555E-2</v>
      </c>
      <c r="H18" s="71" t="s">
        <v>150</v>
      </c>
    </row>
    <row r="19" spans="1:8" s="53" customFormat="1" ht="22.5" customHeight="1">
      <c r="B19" s="88">
        <f t="shared" si="0"/>
        <v>1.0818287037037038</v>
      </c>
      <c r="C19" s="136" t="s">
        <v>167</v>
      </c>
      <c r="D19" s="142" t="s">
        <v>168</v>
      </c>
      <c r="E19" s="147"/>
      <c r="F19" s="143">
        <v>4.7453703703703704E-4</v>
      </c>
      <c r="G19" s="148"/>
      <c r="H19" s="140"/>
    </row>
    <row r="20" spans="1:8" s="53" customFormat="1" ht="22.5" customHeight="1">
      <c r="B20" s="88">
        <f t="shared" si="0"/>
        <v>1.0823032407407407</v>
      </c>
      <c r="C20" s="56" t="s">
        <v>131</v>
      </c>
      <c r="D20" s="128" t="s">
        <v>159</v>
      </c>
      <c r="E20" s="56"/>
      <c r="F20" s="127">
        <v>3.5879629629629635E-4</v>
      </c>
      <c r="G20" s="129"/>
      <c r="H20" s="130"/>
    </row>
    <row r="21" spans="1:8" s="81" customFormat="1" ht="19.5" customHeight="1">
      <c r="B21" s="88">
        <f t="shared" si="0"/>
        <v>1.082662037037037</v>
      </c>
      <c r="C21" s="106" t="s">
        <v>185</v>
      </c>
      <c r="D21" s="107" t="s">
        <v>186</v>
      </c>
      <c r="E21" s="106"/>
      <c r="F21" s="52">
        <v>6.9444444444444447E-4</v>
      </c>
      <c r="G21" s="106"/>
      <c r="H21" s="106"/>
    </row>
    <row r="22" spans="1:8" s="80" customFormat="1" ht="19.5" customHeight="1">
      <c r="A22" s="79"/>
      <c r="B22" s="88">
        <f t="shared" si="0"/>
        <v>1.0833564814814816</v>
      </c>
      <c r="C22" s="99" t="s">
        <v>9</v>
      </c>
      <c r="D22" s="100" t="s">
        <v>110</v>
      </c>
      <c r="E22" s="99" t="s">
        <v>107</v>
      </c>
      <c r="F22" s="101">
        <v>8.1018518518518516E-5</v>
      </c>
      <c r="G22" s="102"/>
      <c r="H22" s="89"/>
    </row>
    <row r="23" spans="1:8" s="81" customFormat="1" ht="19.5" customHeight="1">
      <c r="B23" s="88">
        <f t="shared" si="0"/>
        <v>1.0834375000000001</v>
      </c>
      <c r="C23" s="160" t="s">
        <v>10</v>
      </c>
      <c r="D23" s="108" t="s">
        <v>140</v>
      </c>
      <c r="E23" s="161">
        <v>0</v>
      </c>
      <c r="F23" s="161">
        <f>G23-E23</f>
        <v>1.8657407407407407E-2</v>
      </c>
      <c r="G23" s="161">
        <v>1.8657407407407407E-2</v>
      </c>
      <c r="H23" s="69">
        <v>41688</v>
      </c>
    </row>
    <row r="24" spans="1:8" s="53" customFormat="1" ht="22.5" customHeight="1">
      <c r="B24" s="88">
        <f t="shared" si="0"/>
        <v>1.1020949074074076</v>
      </c>
      <c r="C24" s="56" t="s">
        <v>139</v>
      </c>
      <c r="D24" s="128" t="s">
        <v>161</v>
      </c>
      <c r="E24" s="56"/>
      <c r="F24" s="127">
        <v>4.0509259259259258E-4</v>
      </c>
      <c r="G24" s="132"/>
      <c r="H24" s="132"/>
    </row>
    <row r="25" spans="1:8" s="53" customFormat="1" ht="22.5" customHeight="1">
      <c r="B25" s="88">
        <f t="shared" si="0"/>
        <v>1.1025000000000003</v>
      </c>
      <c r="C25" s="56" t="s">
        <v>171</v>
      </c>
      <c r="D25" s="128" t="s">
        <v>172</v>
      </c>
      <c r="E25" s="56"/>
      <c r="F25" s="127">
        <v>4.0509259259259258E-4</v>
      </c>
      <c r="G25" s="128"/>
      <c r="H25" s="131"/>
    </row>
    <row r="26" spans="1:8" s="78" customFormat="1" ht="19.5" customHeight="1">
      <c r="B26" s="88">
        <f t="shared" si="0"/>
        <v>1.102905092592593</v>
      </c>
      <c r="C26" s="106" t="s">
        <v>245</v>
      </c>
      <c r="D26" s="105" t="s">
        <v>246</v>
      </c>
      <c r="E26" s="103"/>
      <c r="F26" s="103">
        <v>1.0879629629629629E-3</v>
      </c>
      <c r="G26" s="103"/>
      <c r="H26" s="104"/>
    </row>
    <row r="27" spans="1:8" s="80" customFormat="1" ht="19.5" customHeight="1">
      <c r="A27" s="79"/>
      <c r="B27" s="88">
        <f t="shared" si="0"/>
        <v>1.1039930555555559</v>
      </c>
      <c r="C27" s="99" t="s">
        <v>9</v>
      </c>
      <c r="D27" s="100" t="s">
        <v>143</v>
      </c>
      <c r="E27" s="99" t="s">
        <v>107</v>
      </c>
      <c r="F27" s="101">
        <v>2.3148148148148146E-4</v>
      </c>
      <c r="G27" s="90"/>
      <c r="H27" s="89"/>
    </row>
    <row r="28" spans="1:8" s="81" customFormat="1" ht="19.5" customHeight="1">
      <c r="B28" s="88">
        <f t="shared" si="0"/>
        <v>1.1042245370370374</v>
      </c>
      <c r="C28" s="160" t="s">
        <v>10</v>
      </c>
      <c r="D28" s="108" t="s">
        <v>141</v>
      </c>
      <c r="E28" s="161">
        <v>0</v>
      </c>
      <c r="F28" s="161">
        <f>G28-E28</f>
        <v>5.0694444444444441E-3</v>
      </c>
      <c r="G28" s="161">
        <v>5.0694444444444441E-3</v>
      </c>
      <c r="H28" s="69">
        <v>41688</v>
      </c>
    </row>
    <row r="29" spans="1:8" s="53" customFormat="1" ht="22.5" customHeight="1">
      <c r="B29" s="88">
        <f t="shared" si="0"/>
        <v>1.1092939814814817</v>
      </c>
      <c r="C29" s="136" t="s">
        <v>114</v>
      </c>
      <c r="D29" s="149" t="s">
        <v>115</v>
      </c>
      <c r="E29" s="152"/>
      <c r="F29" s="150">
        <v>3.4722222222222224E-4</v>
      </c>
      <c r="G29" s="151"/>
      <c r="H29" s="140"/>
    </row>
    <row r="30" spans="1:8" s="53" customFormat="1" ht="22.5" customHeight="1">
      <c r="B30" s="88">
        <f t="shared" si="0"/>
        <v>1.109641203703704</v>
      </c>
      <c r="C30" s="56" t="s">
        <v>131</v>
      </c>
      <c r="D30" s="128" t="s">
        <v>159</v>
      </c>
      <c r="E30" s="56"/>
      <c r="F30" s="127">
        <v>3.5879629629629635E-4</v>
      </c>
      <c r="G30" s="129"/>
      <c r="H30" s="130"/>
    </row>
    <row r="31" spans="1:8" s="81" customFormat="1" ht="19.5" customHeight="1">
      <c r="B31" s="88">
        <f t="shared" si="0"/>
        <v>1.1100000000000003</v>
      </c>
      <c r="C31" s="106" t="s">
        <v>300</v>
      </c>
      <c r="D31" s="107" t="s">
        <v>301</v>
      </c>
      <c r="E31" s="106"/>
      <c r="F31" s="52">
        <v>2.0023148148148148E-3</v>
      </c>
      <c r="G31" s="106"/>
      <c r="H31" s="106"/>
    </row>
    <row r="32" spans="1:8" s="78" customFormat="1" ht="19.5" customHeight="1">
      <c r="B32" s="88">
        <f t="shared" si="0"/>
        <v>1.112002314814815</v>
      </c>
      <c r="C32" s="104" t="s">
        <v>135</v>
      </c>
      <c r="D32" s="105" t="s">
        <v>136</v>
      </c>
      <c r="E32" s="106"/>
      <c r="F32" s="52">
        <v>9.2592592592592588E-5</v>
      </c>
      <c r="G32" s="106"/>
      <c r="H32" s="106" t="s">
        <v>137</v>
      </c>
    </row>
    <row r="33" spans="1:19" s="81" customFormat="1" ht="19.5" customHeight="1">
      <c r="B33" s="88">
        <f t="shared" si="0"/>
        <v>1.1120949074074076</v>
      </c>
      <c r="C33" s="104" t="s">
        <v>173</v>
      </c>
      <c r="D33" s="105" t="s">
        <v>174</v>
      </c>
      <c r="E33" s="109"/>
      <c r="F33" s="103">
        <v>1.3425925925925925E-3</v>
      </c>
      <c r="G33" s="109"/>
      <c r="H33" s="86">
        <v>41639</v>
      </c>
    </row>
    <row r="34" spans="1:19" s="53" customFormat="1" ht="22.5" customHeight="1">
      <c r="B34" s="88">
        <f t="shared" si="0"/>
        <v>1.1134375000000001</v>
      </c>
      <c r="C34" s="56" t="s">
        <v>142</v>
      </c>
      <c r="D34" s="128" t="s">
        <v>176</v>
      </c>
      <c r="E34" s="128"/>
      <c r="F34" s="127">
        <v>3.7037037037037035E-4</v>
      </c>
      <c r="G34" s="155"/>
      <c r="H34" s="130"/>
    </row>
    <row r="35" spans="1:19" s="53" customFormat="1" ht="22.5" customHeight="1">
      <c r="B35" s="88">
        <f t="shared" si="0"/>
        <v>1.1138078703703704</v>
      </c>
      <c r="C35" s="56" t="s">
        <v>171</v>
      </c>
      <c r="D35" s="128" t="s">
        <v>172</v>
      </c>
      <c r="E35" s="56"/>
      <c r="F35" s="127">
        <v>4.0509259259259258E-4</v>
      </c>
      <c r="G35" s="128"/>
      <c r="H35" s="131"/>
    </row>
    <row r="36" spans="1:19" s="80" customFormat="1" ht="19.5" customHeight="1">
      <c r="A36" s="79"/>
      <c r="B36" s="88">
        <f t="shared" si="0"/>
        <v>1.1142129629629631</v>
      </c>
      <c r="C36" s="99" t="s">
        <v>9</v>
      </c>
      <c r="D36" s="100" t="s">
        <v>127</v>
      </c>
      <c r="E36" s="99" t="s">
        <v>107</v>
      </c>
      <c r="F36" s="101">
        <v>3.4722222222222224E-4</v>
      </c>
      <c r="G36" s="90"/>
      <c r="H36" s="89"/>
    </row>
    <row r="37" spans="1:19" s="80" customFormat="1" ht="19.5" customHeight="1">
      <c r="B37" s="88">
        <f t="shared" si="0"/>
        <v>1.1145601851851854</v>
      </c>
      <c r="C37" s="92" t="s">
        <v>105</v>
      </c>
      <c r="D37" s="93" t="s">
        <v>106</v>
      </c>
      <c r="E37" s="92" t="s">
        <v>107</v>
      </c>
      <c r="F37" s="94">
        <v>8.1018518518518516E-5</v>
      </c>
      <c r="G37" s="95"/>
      <c r="H37" s="96"/>
    </row>
    <row r="38" spans="1:19" s="80" customFormat="1" ht="19.5" customHeight="1">
      <c r="B38" s="88">
        <f t="shared" si="0"/>
        <v>1.1146412037037039</v>
      </c>
      <c r="C38" s="81"/>
      <c r="D38" s="110" t="s">
        <v>108</v>
      </c>
      <c r="E38" s="81"/>
      <c r="F38" s="81"/>
      <c r="G38" s="81"/>
      <c r="H38" s="97"/>
    </row>
    <row r="39" spans="1:19" s="80" customFormat="1" ht="19.5" customHeight="1">
      <c r="B39" s="88">
        <f t="shared" si="0"/>
        <v>1.1146412037037039</v>
      </c>
      <c r="C39" s="116" t="s">
        <v>109</v>
      </c>
      <c r="D39" s="119" t="s">
        <v>151</v>
      </c>
      <c r="E39" s="118">
        <v>0</v>
      </c>
      <c r="F39" s="118">
        <f>G39-E39</f>
        <v>3.3148148148148149E-2</v>
      </c>
      <c r="G39" s="118">
        <v>3.3148148148148149E-2</v>
      </c>
      <c r="H39" s="71">
        <v>41685</v>
      </c>
    </row>
    <row r="40" spans="1:19" s="80" customFormat="1" ht="19.5" customHeight="1">
      <c r="B40" s="88">
        <f t="shared" si="0"/>
        <v>1.147789351851852</v>
      </c>
      <c r="C40" s="81"/>
      <c r="D40" s="98" t="s">
        <v>152</v>
      </c>
      <c r="E40" s="81"/>
      <c r="F40" s="81"/>
      <c r="G40" s="81"/>
      <c r="H40" s="97"/>
    </row>
    <row r="41" spans="1:19" s="58" customFormat="1" ht="22.5" customHeight="1">
      <c r="B41" s="88">
        <f t="shared" si="0"/>
        <v>1.147789351851852</v>
      </c>
      <c r="C41" s="156" t="s">
        <v>200</v>
      </c>
      <c r="D41" s="67" t="s">
        <v>201</v>
      </c>
      <c r="E41" s="67"/>
      <c r="F41" s="127">
        <v>4.0509259259259258E-4</v>
      </c>
      <c r="G41" s="56"/>
      <c r="H41" s="159"/>
      <c r="I41" s="59"/>
    </row>
    <row r="42" spans="1:19" s="80" customFormat="1" ht="19.5" customHeight="1">
      <c r="B42" s="88">
        <f t="shared" si="0"/>
        <v>1.1481944444444447</v>
      </c>
      <c r="C42" s="92" t="s">
        <v>105</v>
      </c>
      <c r="D42" s="93" t="s">
        <v>106</v>
      </c>
      <c r="E42" s="92" t="s">
        <v>107</v>
      </c>
      <c r="F42" s="94">
        <v>8.1018518518518516E-5</v>
      </c>
      <c r="G42" s="95"/>
      <c r="H42" s="96"/>
    </row>
    <row r="43" spans="1:19" s="80" customFormat="1" ht="19.5" customHeight="1">
      <c r="B43" s="88">
        <f t="shared" si="0"/>
        <v>1.1482754629629632</v>
      </c>
      <c r="C43" s="116" t="s">
        <v>109</v>
      </c>
      <c r="D43" s="119" t="s">
        <v>153</v>
      </c>
      <c r="E43" s="118">
        <v>0</v>
      </c>
      <c r="F43" s="118">
        <f>G43-E43</f>
        <v>3.8067129629629631E-2</v>
      </c>
      <c r="G43" s="118">
        <v>3.8067129629629631E-2</v>
      </c>
      <c r="H43" s="71">
        <v>41685</v>
      </c>
    </row>
    <row r="44" spans="1:19" s="80" customFormat="1" ht="19.5" customHeight="1">
      <c r="B44" s="88">
        <f t="shared" si="0"/>
        <v>1.1863425925925928</v>
      </c>
      <c r="C44" s="81"/>
      <c r="D44" s="98" t="s">
        <v>154</v>
      </c>
      <c r="E44" s="81"/>
      <c r="F44" s="81"/>
      <c r="G44" s="81"/>
      <c r="H44" s="97"/>
    </row>
    <row r="45" spans="1:19" s="141" customFormat="1" ht="22.5" customHeight="1">
      <c r="B45" s="88">
        <f t="shared" si="0"/>
        <v>1.1863425925925928</v>
      </c>
      <c r="C45" s="136" t="s">
        <v>165</v>
      </c>
      <c r="D45" s="142" t="s">
        <v>166</v>
      </c>
      <c r="E45" s="133"/>
      <c r="F45" s="143">
        <v>3.9351851851851852E-4</v>
      </c>
      <c r="G45" s="144"/>
      <c r="H45" s="140"/>
      <c r="I45" s="67"/>
      <c r="Q45" s="145"/>
      <c r="R45" s="145"/>
      <c r="S45" s="146"/>
    </row>
    <row r="46" spans="1:19" s="78" customFormat="1" ht="19.5" customHeight="1">
      <c r="B46" s="88">
        <f t="shared" si="0"/>
        <v>1.1867361111111112</v>
      </c>
      <c r="C46" s="106" t="s">
        <v>177</v>
      </c>
      <c r="D46" s="107" t="s">
        <v>178</v>
      </c>
      <c r="E46" s="109"/>
      <c r="F46" s="103">
        <v>5.0925925925925921E-4</v>
      </c>
      <c r="G46" s="109"/>
      <c r="H46" s="107"/>
    </row>
    <row r="47" spans="1:19" s="53" customFormat="1" ht="22.5" customHeight="1">
      <c r="B47" s="88">
        <f t="shared" si="0"/>
        <v>1.1872453703703705</v>
      </c>
      <c r="C47" s="136" t="s">
        <v>113</v>
      </c>
      <c r="D47" s="137" t="s">
        <v>164</v>
      </c>
      <c r="E47" s="67"/>
      <c r="F47" s="138">
        <v>1.9675925925925926E-4</v>
      </c>
      <c r="G47" s="139"/>
      <c r="H47" s="140"/>
      <c r="I47" s="67"/>
      <c r="J47" s="50"/>
    </row>
    <row r="48" spans="1:19" s="80" customFormat="1" ht="19.5" customHeight="1">
      <c r="A48" s="79"/>
      <c r="B48" s="88">
        <f t="shared" si="0"/>
        <v>1.1874421296296298</v>
      </c>
      <c r="C48" s="99" t="s">
        <v>9</v>
      </c>
      <c r="D48" s="100" t="s">
        <v>110</v>
      </c>
      <c r="E48" s="99" t="s">
        <v>107</v>
      </c>
      <c r="F48" s="101">
        <v>8.1018518518518516E-5</v>
      </c>
      <c r="G48" s="102"/>
      <c r="H48" s="89"/>
    </row>
    <row r="49" spans="1:9" s="80" customFormat="1" ht="19.5" customHeight="1">
      <c r="A49" s="65"/>
      <c r="B49" s="88">
        <f t="shared" si="0"/>
        <v>1.1875231481481483</v>
      </c>
      <c r="C49" s="120"/>
      <c r="D49" s="117" t="s">
        <v>112</v>
      </c>
      <c r="E49" s="121"/>
      <c r="F49" s="122"/>
      <c r="G49" s="121"/>
      <c r="H49" s="123"/>
      <c r="I49" s="81"/>
    </row>
    <row r="50" spans="1:9" s="81" customFormat="1" ht="19.5" customHeight="1">
      <c r="B50" s="88">
        <f t="shared" si="0"/>
        <v>1.1875231481481483</v>
      </c>
      <c r="C50" s="111" t="s">
        <v>9</v>
      </c>
      <c r="D50" s="112" t="s">
        <v>125</v>
      </c>
      <c r="E50" s="111" t="s">
        <v>107</v>
      </c>
      <c r="F50" s="113">
        <v>3.0092592592592595E-4</v>
      </c>
      <c r="G50" s="114"/>
      <c r="H50" s="115"/>
    </row>
    <row r="51" spans="1:9" s="81" customFormat="1" ht="19.5" customHeight="1">
      <c r="B51" s="88">
        <f t="shared" si="0"/>
        <v>1.1878240740740742</v>
      </c>
      <c r="C51" s="160" t="s">
        <v>10</v>
      </c>
      <c r="D51" s="108" t="s">
        <v>126</v>
      </c>
      <c r="E51" s="161">
        <v>0</v>
      </c>
      <c r="F51" s="161">
        <f t="shared" ref="F51" si="3">G51-E51</f>
        <v>4.010416666666667E-2</v>
      </c>
      <c r="G51" s="161">
        <v>4.010416666666667E-2</v>
      </c>
      <c r="H51" s="71" t="s">
        <v>103</v>
      </c>
    </row>
    <row r="52" spans="1:9" s="53" customFormat="1" ht="22.5" customHeight="1">
      <c r="B52" s="88">
        <f t="shared" si="0"/>
        <v>1.2279282407407408</v>
      </c>
      <c r="C52" s="136" t="s">
        <v>113</v>
      </c>
      <c r="D52" s="137" t="s">
        <v>164</v>
      </c>
      <c r="E52" s="67"/>
      <c r="F52" s="138">
        <v>1.9675925925925926E-4</v>
      </c>
      <c r="G52" s="129"/>
      <c r="H52" s="130"/>
    </row>
    <row r="53" spans="1:9" s="81" customFormat="1" ht="19.5" customHeight="1">
      <c r="B53" s="88">
        <f t="shared" si="0"/>
        <v>1.2281250000000001</v>
      </c>
      <c r="C53" s="160" t="s">
        <v>10</v>
      </c>
      <c r="D53" s="108" t="s">
        <v>132</v>
      </c>
      <c r="E53" s="161">
        <v>0</v>
      </c>
      <c r="F53" s="161">
        <f t="shared" ref="F53" si="4">G53-E53</f>
        <v>1.2916666666666667E-2</v>
      </c>
      <c r="G53" s="161">
        <v>1.2916666666666667E-2</v>
      </c>
      <c r="H53" s="71" t="s">
        <v>103</v>
      </c>
    </row>
    <row r="54" spans="1:9" s="53" customFormat="1" ht="22.5" customHeight="1">
      <c r="B54" s="88">
        <f t="shared" si="0"/>
        <v>1.2410416666666668</v>
      </c>
      <c r="C54" s="136" t="s">
        <v>111</v>
      </c>
      <c r="D54" s="153" t="s">
        <v>175</v>
      </c>
      <c r="E54" s="133"/>
      <c r="F54" s="143">
        <v>2.199074074074074E-4</v>
      </c>
      <c r="G54" s="129"/>
      <c r="H54" s="132"/>
    </row>
    <row r="55" spans="1:9" s="81" customFormat="1" ht="19.5" customHeight="1">
      <c r="B55" s="88">
        <f t="shared" si="0"/>
        <v>1.2412615740740742</v>
      </c>
      <c r="C55" s="160" t="s">
        <v>10</v>
      </c>
      <c r="D55" s="108" t="s">
        <v>133</v>
      </c>
      <c r="E55" s="161">
        <v>0</v>
      </c>
      <c r="F55" s="161">
        <f t="shared" ref="F55" si="5">G55-E55</f>
        <v>4.9305555555555552E-3</v>
      </c>
      <c r="G55" s="161">
        <v>4.9305555555555552E-3</v>
      </c>
      <c r="H55" s="71" t="s">
        <v>103</v>
      </c>
    </row>
    <row r="56" spans="1:9" s="53" customFormat="1" ht="22.5" customHeight="1">
      <c r="B56" s="88">
        <f t="shared" ref="B56:B120" si="6">B55+F55</f>
        <v>1.2461921296296299</v>
      </c>
      <c r="C56" s="56" t="s">
        <v>142</v>
      </c>
      <c r="D56" s="128" t="s">
        <v>176</v>
      </c>
      <c r="E56" s="128"/>
      <c r="F56" s="127">
        <v>3.7037037037037035E-4</v>
      </c>
      <c r="G56" s="155"/>
      <c r="H56" s="130"/>
    </row>
    <row r="57" spans="1:9" s="81" customFormat="1" ht="19.5" customHeight="1">
      <c r="B57" s="88">
        <f t="shared" si="6"/>
        <v>1.2465625000000002</v>
      </c>
      <c r="C57" s="106" t="s">
        <v>300</v>
      </c>
      <c r="D57" s="107" t="s">
        <v>301</v>
      </c>
      <c r="E57" s="106"/>
      <c r="F57" s="52">
        <v>2.0023148148148148E-3</v>
      </c>
      <c r="G57" s="106"/>
      <c r="H57" s="106"/>
    </row>
    <row r="58" spans="1:9" s="53" customFormat="1" ht="22.5" customHeight="1">
      <c r="B58" s="88">
        <f t="shared" si="6"/>
        <v>1.248564814814815</v>
      </c>
      <c r="C58" s="136" t="s">
        <v>113</v>
      </c>
      <c r="D58" s="137" t="s">
        <v>164</v>
      </c>
      <c r="E58" s="67"/>
      <c r="F58" s="138">
        <v>1.9675925925925926E-4</v>
      </c>
      <c r="G58" s="129"/>
      <c r="H58" s="130"/>
    </row>
    <row r="59" spans="1:9" s="58" customFormat="1" ht="22.5" customHeight="1">
      <c r="B59" s="88">
        <f t="shared" si="6"/>
        <v>1.2487615740740743</v>
      </c>
      <c r="C59" s="156" t="s">
        <v>200</v>
      </c>
      <c r="D59" s="67" t="s">
        <v>201</v>
      </c>
      <c r="E59" s="67"/>
      <c r="F59" s="127">
        <v>4.0509259259259258E-4</v>
      </c>
      <c r="G59" s="56"/>
      <c r="H59" s="159"/>
      <c r="I59" s="59"/>
    </row>
    <row r="60" spans="1:9" s="81" customFormat="1" ht="19.5" customHeight="1">
      <c r="B60" s="88">
        <f t="shared" si="6"/>
        <v>1.249166666666667</v>
      </c>
      <c r="C60" s="106" t="s">
        <v>315</v>
      </c>
      <c r="D60" s="107" t="s">
        <v>316</v>
      </c>
      <c r="E60" s="106"/>
      <c r="F60" s="52">
        <v>7.291666666666667E-4</v>
      </c>
      <c r="G60" s="106"/>
      <c r="H60" s="106"/>
    </row>
    <row r="61" spans="1:9" s="80" customFormat="1" ht="19.5" customHeight="1">
      <c r="A61" s="79"/>
      <c r="B61" s="88">
        <f t="shared" si="6"/>
        <v>1.2498958333333337</v>
      </c>
      <c r="C61" s="99" t="s">
        <v>9</v>
      </c>
      <c r="D61" s="100" t="s">
        <v>110</v>
      </c>
      <c r="E61" s="99" t="s">
        <v>107</v>
      </c>
      <c r="F61" s="101">
        <v>8.1018518518518516E-5</v>
      </c>
      <c r="G61" s="102"/>
      <c r="H61" s="89"/>
    </row>
    <row r="62" spans="1:9" s="81" customFormat="1" ht="19.5" customHeight="1">
      <c r="B62" s="88">
        <f t="shared" si="6"/>
        <v>1.2499768518518521</v>
      </c>
      <c r="C62" s="111" t="s">
        <v>9</v>
      </c>
      <c r="D62" s="112" t="s">
        <v>144</v>
      </c>
      <c r="E62" s="111" t="s">
        <v>107</v>
      </c>
      <c r="F62" s="113">
        <v>3.4722222222222224E-4</v>
      </c>
      <c r="G62" s="114"/>
      <c r="H62" s="115"/>
    </row>
    <row r="63" spans="1:9" s="81" customFormat="1" ht="19.5" customHeight="1">
      <c r="B63" s="88">
        <f t="shared" si="6"/>
        <v>1.2503240740740744</v>
      </c>
      <c r="C63" s="160" t="s">
        <v>10</v>
      </c>
      <c r="D63" s="108" t="s">
        <v>145</v>
      </c>
      <c r="E63" s="161">
        <v>0</v>
      </c>
      <c r="F63" s="161">
        <f>G63-E63</f>
        <v>2.1226851851851854E-2</v>
      </c>
      <c r="G63" s="161">
        <v>2.1226851851851854E-2</v>
      </c>
      <c r="H63" s="71" t="s">
        <v>103</v>
      </c>
    </row>
    <row r="64" spans="1:9" s="53" customFormat="1" ht="22.5" customHeight="1">
      <c r="B64" s="88">
        <f t="shared" si="6"/>
        <v>1.2715509259259263</v>
      </c>
      <c r="C64" s="136" t="s">
        <v>121</v>
      </c>
      <c r="D64" s="149" t="s">
        <v>122</v>
      </c>
      <c r="E64" s="131"/>
      <c r="F64" s="143">
        <v>3.4722222222222224E-4</v>
      </c>
      <c r="G64" s="151"/>
      <c r="H64" s="140"/>
    </row>
    <row r="65" spans="1:19" s="81" customFormat="1" ht="19.5" customHeight="1">
      <c r="B65" s="88">
        <f t="shared" si="6"/>
        <v>1.2718981481481486</v>
      </c>
      <c r="C65" s="160" t="s">
        <v>10</v>
      </c>
      <c r="D65" s="108" t="s">
        <v>146</v>
      </c>
      <c r="E65" s="161">
        <v>0</v>
      </c>
      <c r="F65" s="161">
        <f>G65-E65</f>
        <v>1.4710648148148148E-2</v>
      </c>
      <c r="G65" s="161">
        <v>1.4710648148148148E-2</v>
      </c>
      <c r="H65" s="71" t="s">
        <v>103</v>
      </c>
    </row>
    <row r="66" spans="1:19" s="141" customFormat="1" ht="22.5" customHeight="1">
      <c r="B66" s="88">
        <f t="shared" si="6"/>
        <v>1.2866087962962967</v>
      </c>
      <c r="C66" s="136" t="s">
        <v>111</v>
      </c>
      <c r="D66" s="153" t="s">
        <v>175</v>
      </c>
      <c r="E66" s="133"/>
      <c r="F66" s="143">
        <v>2.199074074074074E-4</v>
      </c>
      <c r="G66" s="148"/>
      <c r="H66" s="154"/>
      <c r="I66" s="153"/>
      <c r="Q66" s="145"/>
      <c r="R66" s="145"/>
      <c r="S66" s="146"/>
    </row>
    <row r="67" spans="1:19" s="53" customFormat="1" ht="22.5" customHeight="1">
      <c r="B67" s="88">
        <f t="shared" si="6"/>
        <v>1.2868287037037041</v>
      </c>
      <c r="C67" s="56" t="s">
        <v>131</v>
      </c>
      <c r="D67" s="128" t="s">
        <v>159</v>
      </c>
      <c r="E67" s="56"/>
      <c r="F67" s="127">
        <v>3.5879629629629635E-4</v>
      </c>
      <c r="G67" s="129"/>
      <c r="H67" s="130"/>
    </row>
    <row r="68" spans="1:19" s="81" customFormat="1" ht="19.5" customHeight="1">
      <c r="B68" s="88">
        <f t="shared" si="6"/>
        <v>1.2871875000000004</v>
      </c>
      <c r="C68" s="106" t="s">
        <v>234</v>
      </c>
      <c r="D68" s="107" t="s">
        <v>235</v>
      </c>
      <c r="E68" s="109"/>
      <c r="F68" s="103">
        <v>3.1944444444444442E-3</v>
      </c>
      <c r="G68" s="106"/>
      <c r="H68" s="72"/>
    </row>
    <row r="69" spans="1:19" s="78" customFormat="1" ht="19.5" customHeight="1">
      <c r="B69" s="88">
        <f t="shared" si="6"/>
        <v>1.2903819444444449</v>
      </c>
      <c r="C69" s="106" t="s">
        <v>177</v>
      </c>
      <c r="D69" s="107" t="s">
        <v>178</v>
      </c>
      <c r="E69" s="109"/>
      <c r="F69" s="103">
        <v>5.0925925925925921E-4</v>
      </c>
      <c r="G69" s="109"/>
      <c r="H69" s="107"/>
    </row>
    <row r="70" spans="1:19" s="81" customFormat="1" ht="18.75" customHeight="1">
      <c r="B70" s="88">
        <f t="shared" si="6"/>
        <v>1.2908912037037041</v>
      </c>
      <c r="C70" s="104" t="s">
        <v>271</v>
      </c>
      <c r="D70" s="105" t="s">
        <v>272</v>
      </c>
      <c r="E70" s="106"/>
      <c r="F70" s="52">
        <v>5.7870370370370366E-5</v>
      </c>
      <c r="G70" s="106"/>
      <c r="H70" s="106" t="s">
        <v>137</v>
      </c>
    </row>
    <row r="71" spans="1:19" s="53" customFormat="1" ht="22.5" customHeight="1">
      <c r="B71" s="88">
        <f t="shared" si="6"/>
        <v>1.2909490740740746</v>
      </c>
      <c r="C71" s="56" t="s">
        <v>142</v>
      </c>
      <c r="D71" s="128" t="s">
        <v>176</v>
      </c>
      <c r="E71" s="128"/>
      <c r="F71" s="127">
        <v>3.7037037037037035E-4</v>
      </c>
      <c r="G71" s="155"/>
      <c r="H71" s="130"/>
    </row>
    <row r="72" spans="1:19" s="80" customFormat="1" ht="19.5" customHeight="1">
      <c r="A72" s="79"/>
      <c r="B72" s="88">
        <f t="shared" si="6"/>
        <v>1.2913194444444449</v>
      </c>
      <c r="C72" s="99" t="s">
        <v>9</v>
      </c>
      <c r="D72" s="100" t="s">
        <v>127</v>
      </c>
      <c r="E72" s="99" t="s">
        <v>107</v>
      </c>
      <c r="F72" s="101">
        <v>3.4722222222222224E-4</v>
      </c>
      <c r="G72" s="90"/>
      <c r="H72" s="89"/>
    </row>
    <row r="73" spans="1:19" s="81" customFormat="1" ht="19.5" customHeight="1">
      <c r="B73" s="88">
        <f t="shared" si="6"/>
        <v>1.2916666666666672</v>
      </c>
      <c r="C73" s="73" t="s">
        <v>10</v>
      </c>
      <c r="D73" s="74" t="s">
        <v>116</v>
      </c>
      <c r="E73" s="75">
        <v>0</v>
      </c>
      <c r="F73" s="75">
        <f>G73-E73</f>
        <v>3.5069444444444445E-2</v>
      </c>
      <c r="G73" s="75">
        <v>3.5069444444444445E-2</v>
      </c>
      <c r="H73" s="110" t="s">
        <v>117</v>
      </c>
    </row>
    <row r="74" spans="1:19" s="81" customFormat="1" ht="19.5" customHeight="1">
      <c r="B74" s="88">
        <f t="shared" si="6"/>
        <v>1.3267361111111116</v>
      </c>
      <c r="C74" s="89"/>
      <c r="D74" s="76" t="s">
        <v>118</v>
      </c>
      <c r="E74" s="61"/>
      <c r="F74" s="62"/>
      <c r="G74" s="61"/>
      <c r="H74" s="77"/>
    </row>
    <row r="75" spans="1:19" s="53" customFormat="1" ht="22.5" customHeight="1">
      <c r="B75" s="88">
        <f t="shared" si="6"/>
        <v>1.3267361111111116</v>
      </c>
      <c r="C75" s="56" t="s">
        <v>138</v>
      </c>
      <c r="D75" s="128" t="s">
        <v>160</v>
      </c>
      <c r="E75" s="56"/>
      <c r="F75" s="127">
        <v>7.0601851851851847E-4</v>
      </c>
      <c r="G75" s="130"/>
      <c r="H75" s="131"/>
    </row>
    <row r="76" spans="1:19" s="81" customFormat="1" ht="19.5" customHeight="1">
      <c r="B76" s="88">
        <f t="shared" si="6"/>
        <v>1.3274421296296302</v>
      </c>
      <c r="C76" s="104" t="s">
        <v>147</v>
      </c>
      <c r="D76" s="105" t="s">
        <v>148</v>
      </c>
      <c r="E76" s="109"/>
      <c r="F76" s="103">
        <v>3.3564814814814811E-3</v>
      </c>
      <c r="G76" s="109"/>
      <c r="H76" s="86">
        <v>41639</v>
      </c>
    </row>
    <row r="77" spans="1:19" s="81" customFormat="1" ht="19.5" customHeight="1">
      <c r="B77" s="88">
        <f t="shared" si="6"/>
        <v>1.3307986111111116</v>
      </c>
      <c r="C77" s="106" t="s">
        <v>183</v>
      </c>
      <c r="D77" s="107" t="s">
        <v>184</v>
      </c>
      <c r="E77" s="109"/>
      <c r="F77" s="103">
        <v>1.0879629629629629E-3</v>
      </c>
      <c r="G77" s="106"/>
      <c r="H77" s="72"/>
    </row>
    <row r="78" spans="1:19" s="53" customFormat="1" ht="22.5" customHeight="1">
      <c r="B78" s="88">
        <f t="shared" si="6"/>
        <v>1.3318865740740746</v>
      </c>
      <c r="C78" s="156" t="s">
        <v>179</v>
      </c>
      <c r="D78" s="128" t="s">
        <v>180</v>
      </c>
      <c r="E78" s="128"/>
      <c r="F78" s="157">
        <v>5.6712962962962956E-4</v>
      </c>
      <c r="G78" s="158"/>
      <c r="H78" s="159"/>
    </row>
    <row r="79" spans="1:19" s="53" customFormat="1" ht="22.5" customHeight="1">
      <c r="B79" s="88">
        <f t="shared" si="6"/>
        <v>1.3324537037037043</v>
      </c>
      <c r="C79" s="56" t="s">
        <v>181</v>
      </c>
      <c r="D79" s="158" t="s">
        <v>182</v>
      </c>
      <c r="E79" s="158"/>
      <c r="F79" s="157">
        <v>3.3564814814814812E-4</v>
      </c>
      <c r="G79" s="158"/>
      <c r="H79" s="67"/>
    </row>
    <row r="80" spans="1:19" s="80" customFormat="1" ht="19.5" customHeight="1">
      <c r="A80" s="79"/>
      <c r="B80" s="88">
        <f t="shared" si="6"/>
        <v>1.3327893518518525</v>
      </c>
      <c r="C80" s="91" t="s">
        <v>9</v>
      </c>
      <c r="D80" s="83" t="s">
        <v>100</v>
      </c>
      <c r="E80" s="84"/>
      <c r="F80" s="85">
        <v>8.1018518518518516E-5</v>
      </c>
      <c r="G80" s="90"/>
      <c r="H80" s="82"/>
    </row>
    <row r="81" spans="1:19" s="80" customFormat="1" ht="19.5" customHeight="1">
      <c r="B81" s="88">
        <f t="shared" si="6"/>
        <v>1.332870370370371</v>
      </c>
      <c r="C81" s="92" t="s">
        <v>309</v>
      </c>
      <c r="D81" s="93" t="s">
        <v>310</v>
      </c>
      <c r="E81" s="87"/>
      <c r="F81" s="94">
        <v>3.8194444444444446E-4</v>
      </c>
      <c r="G81" s="92" t="s">
        <v>202</v>
      </c>
      <c r="H81" s="168">
        <v>41784</v>
      </c>
    </row>
    <row r="82" spans="1:19" s="80" customFormat="1" ht="19.5" customHeight="1">
      <c r="A82" s="79"/>
      <c r="B82" s="88">
        <f t="shared" si="6"/>
        <v>1.3332523148148154</v>
      </c>
      <c r="C82" s="91" t="s">
        <v>9</v>
      </c>
      <c r="D82" s="83" t="s">
        <v>101</v>
      </c>
      <c r="E82" s="84"/>
      <c r="F82" s="85">
        <v>8.1018518518518516E-5</v>
      </c>
      <c r="G82" s="90"/>
      <c r="H82" s="82"/>
    </row>
    <row r="83" spans="1:19" s="80" customFormat="1" ht="19.5" customHeight="1">
      <c r="B83" s="88">
        <f t="shared" si="6"/>
        <v>1.3333333333333339</v>
      </c>
      <c r="C83" s="92" t="s">
        <v>105</v>
      </c>
      <c r="D83" s="93" t="s">
        <v>106</v>
      </c>
      <c r="E83" s="92" t="s">
        <v>107</v>
      </c>
      <c r="F83" s="94">
        <v>8.1018518518518516E-5</v>
      </c>
      <c r="G83" s="95"/>
      <c r="H83" s="96"/>
    </row>
    <row r="84" spans="1:19" s="80" customFormat="1" ht="19.5" customHeight="1">
      <c r="B84" s="88">
        <f t="shared" si="6"/>
        <v>1.3334143518518524</v>
      </c>
      <c r="C84" s="81"/>
      <c r="D84" s="110" t="s">
        <v>108</v>
      </c>
      <c r="E84" s="81"/>
      <c r="F84" s="81"/>
      <c r="G84" s="81"/>
      <c r="H84" s="97"/>
    </row>
    <row r="85" spans="1:19" s="80" customFormat="1" ht="19.5" customHeight="1">
      <c r="B85" s="88">
        <f t="shared" si="6"/>
        <v>1.3334143518518524</v>
      </c>
      <c r="C85" s="116" t="s">
        <v>109</v>
      </c>
      <c r="D85" s="119" t="s">
        <v>155</v>
      </c>
      <c r="E85" s="118">
        <v>0</v>
      </c>
      <c r="F85" s="118">
        <f>G85-E85</f>
        <v>3.4583333333333334E-2</v>
      </c>
      <c r="G85" s="118">
        <v>3.4583333333333334E-2</v>
      </c>
      <c r="H85" s="71">
        <v>41686</v>
      </c>
    </row>
    <row r="86" spans="1:19" s="80" customFormat="1" ht="19.5" customHeight="1">
      <c r="B86" s="88">
        <f t="shared" si="6"/>
        <v>1.3679976851851858</v>
      </c>
      <c r="C86" s="81"/>
      <c r="D86" s="98" t="s">
        <v>156</v>
      </c>
      <c r="E86" s="81"/>
      <c r="F86" s="81"/>
      <c r="G86" s="81"/>
      <c r="H86" s="97"/>
    </row>
    <row r="87" spans="1:19" s="58" customFormat="1" ht="22.5" customHeight="1">
      <c r="B87" s="88">
        <f t="shared" si="6"/>
        <v>1.3679976851851858</v>
      </c>
      <c r="C87" s="156" t="s">
        <v>200</v>
      </c>
      <c r="D87" s="67" t="s">
        <v>201</v>
      </c>
      <c r="E87" s="67"/>
      <c r="F87" s="127">
        <v>4.0509259259259258E-4</v>
      </c>
      <c r="G87" s="56"/>
      <c r="H87" s="159"/>
      <c r="I87" s="59"/>
    </row>
    <row r="88" spans="1:19" s="80" customFormat="1" ht="19.5" customHeight="1">
      <c r="B88" s="88">
        <f t="shared" si="6"/>
        <v>1.3684027777777785</v>
      </c>
      <c r="C88" s="92" t="s">
        <v>105</v>
      </c>
      <c r="D88" s="93" t="s">
        <v>106</v>
      </c>
      <c r="E88" s="92" t="s">
        <v>107</v>
      </c>
      <c r="F88" s="94">
        <v>8.1018518518518516E-5</v>
      </c>
      <c r="G88" s="95"/>
      <c r="H88" s="96"/>
    </row>
    <row r="89" spans="1:19" s="80" customFormat="1" ht="19.5" customHeight="1">
      <c r="B89" s="88">
        <f t="shared" si="6"/>
        <v>1.368483796296297</v>
      </c>
      <c r="C89" s="116" t="s">
        <v>109</v>
      </c>
      <c r="D89" s="119" t="s">
        <v>157</v>
      </c>
      <c r="E89" s="118">
        <v>0</v>
      </c>
      <c r="F89" s="118">
        <f>G89-E89</f>
        <v>3.5023148148148144E-2</v>
      </c>
      <c r="G89" s="118">
        <v>3.5023148148148144E-2</v>
      </c>
      <c r="H89" s="71">
        <v>41686</v>
      </c>
    </row>
    <row r="90" spans="1:19" s="80" customFormat="1" ht="19.5" customHeight="1">
      <c r="B90" s="88">
        <f t="shared" si="6"/>
        <v>1.4035069444444452</v>
      </c>
      <c r="C90" s="81"/>
      <c r="D90" s="98" t="s">
        <v>158</v>
      </c>
      <c r="E90" s="81"/>
      <c r="F90" s="81"/>
      <c r="G90" s="81"/>
      <c r="H90" s="97"/>
    </row>
    <row r="91" spans="1:19" s="78" customFormat="1" ht="19.5" customHeight="1">
      <c r="B91" s="88">
        <f t="shared" si="6"/>
        <v>1.4035069444444452</v>
      </c>
      <c r="C91" s="104" t="s">
        <v>135</v>
      </c>
      <c r="D91" s="105" t="s">
        <v>136</v>
      </c>
      <c r="E91" s="106"/>
      <c r="F91" s="52">
        <v>9.2592592592592588E-5</v>
      </c>
      <c r="G91" s="106"/>
      <c r="H91" s="106" t="s">
        <v>137</v>
      </c>
    </row>
    <row r="92" spans="1:19" s="141" customFormat="1" ht="22.5" customHeight="1">
      <c r="B92" s="88">
        <f t="shared" si="6"/>
        <v>1.4035995370370378</v>
      </c>
      <c r="C92" s="136" t="s">
        <v>165</v>
      </c>
      <c r="D92" s="142" t="s">
        <v>166</v>
      </c>
      <c r="E92" s="133"/>
      <c r="F92" s="143">
        <v>3.9351851851851852E-4</v>
      </c>
      <c r="G92" s="144"/>
      <c r="H92" s="140"/>
      <c r="I92" s="67"/>
      <c r="Q92" s="145"/>
      <c r="R92" s="145"/>
      <c r="S92" s="146"/>
    </row>
    <row r="93" spans="1:19" s="53" customFormat="1" ht="22.5" customHeight="1">
      <c r="B93" s="88">
        <f t="shared" si="6"/>
        <v>1.4039930555555562</v>
      </c>
      <c r="C93" s="136" t="s">
        <v>111</v>
      </c>
      <c r="D93" s="153" t="s">
        <v>175</v>
      </c>
      <c r="E93" s="133"/>
      <c r="F93" s="143">
        <v>2.199074074074074E-4</v>
      </c>
      <c r="G93" s="129"/>
      <c r="H93" s="132"/>
    </row>
    <row r="94" spans="1:19" s="53" customFormat="1" ht="22.5" customHeight="1">
      <c r="B94" s="88">
        <f t="shared" si="6"/>
        <v>1.4042129629629636</v>
      </c>
      <c r="C94" s="56" t="s">
        <v>131</v>
      </c>
      <c r="D94" s="128" t="s">
        <v>159</v>
      </c>
      <c r="E94" s="56"/>
      <c r="F94" s="127">
        <v>3.5879629629629635E-4</v>
      </c>
      <c r="G94" s="129"/>
      <c r="H94" s="130"/>
    </row>
    <row r="95" spans="1:19" s="81" customFormat="1" ht="19.5" customHeight="1">
      <c r="B95" s="88">
        <f t="shared" si="6"/>
        <v>1.4045717592592599</v>
      </c>
      <c r="C95" s="104" t="s">
        <v>173</v>
      </c>
      <c r="D95" s="105" t="s">
        <v>174</v>
      </c>
      <c r="E95" s="109"/>
      <c r="F95" s="103">
        <v>1.3425925925925925E-3</v>
      </c>
      <c r="G95" s="109"/>
      <c r="H95" s="86">
        <v>41639</v>
      </c>
    </row>
    <row r="96" spans="1:19" s="80" customFormat="1" ht="19.5" customHeight="1">
      <c r="A96" s="79"/>
      <c r="B96" s="88">
        <f t="shared" si="6"/>
        <v>1.4059143518518524</v>
      </c>
      <c r="C96" s="99" t="s">
        <v>9</v>
      </c>
      <c r="D96" s="100" t="s">
        <v>127</v>
      </c>
      <c r="E96" s="99" t="s">
        <v>107</v>
      </c>
      <c r="F96" s="101">
        <v>3.4722222222222224E-4</v>
      </c>
      <c r="G96" s="90"/>
      <c r="H96" s="89"/>
    </row>
    <row r="97" spans="1:19" s="81" customFormat="1" ht="19.5" customHeight="1">
      <c r="B97" s="88">
        <f t="shared" si="6"/>
        <v>1.4062615740740747</v>
      </c>
      <c r="C97" s="116" t="s">
        <v>10</v>
      </c>
      <c r="D97" s="108" t="s">
        <v>187</v>
      </c>
      <c r="E97" s="118">
        <v>0</v>
      </c>
      <c r="F97" s="118">
        <f>G97-E97</f>
        <v>8.217592592592594E-3</v>
      </c>
      <c r="G97" s="118">
        <v>8.217592592592594E-3</v>
      </c>
      <c r="H97" s="71" t="s">
        <v>103</v>
      </c>
    </row>
    <row r="98" spans="1:19" s="53" customFormat="1" ht="22.5" customHeight="1">
      <c r="B98" s="88">
        <f t="shared" si="6"/>
        <v>1.4144791666666674</v>
      </c>
      <c r="C98" s="136" t="s">
        <v>121</v>
      </c>
      <c r="D98" s="149" t="s">
        <v>122</v>
      </c>
      <c r="E98" s="131"/>
      <c r="F98" s="143">
        <v>3.4722222222222224E-4</v>
      </c>
      <c r="G98" s="151"/>
      <c r="H98" s="140"/>
    </row>
    <row r="99" spans="1:19" s="141" customFormat="1" ht="22.5" customHeight="1">
      <c r="B99" s="88">
        <f t="shared" si="6"/>
        <v>1.4148263888888897</v>
      </c>
      <c r="C99" s="136" t="s">
        <v>111</v>
      </c>
      <c r="D99" s="153" t="s">
        <v>175</v>
      </c>
      <c r="E99" s="133"/>
      <c r="F99" s="143">
        <v>2.199074074074074E-4</v>
      </c>
      <c r="G99" s="148"/>
      <c r="H99" s="154"/>
      <c r="I99" s="153"/>
      <c r="Q99" s="145"/>
      <c r="R99" s="145"/>
      <c r="S99" s="146"/>
    </row>
    <row r="100" spans="1:19" s="53" customFormat="1" ht="22.5" customHeight="1">
      <c r="B100" s="88">
        <f t="shared" si="6"/>
        <v>1.4150462962962971</v>
      </c>
      <c r="C100" s="56" t="s">
        <v>139</v>
      </c>
      <c r="D100" s="128" t="s">
        <v>161</v>
      </c>
      <c r="E100" s="56"/>
      <c r="F100" s="127">
        <v>4.0509259259259258E-4</v>
      </c>
      <c r="G100" s="132"/>
      <c r="H100" s="132"/>
    </row>
    <row r="101" spans="1:19" s="78" customFormat="1" ht="19.5" customHeight="1">
      <c r="B101" s="88">
        <f t="shared" si="6"/>
        <v>1.4154513888888898</v>
      </c>
      <c r="C101" s="106" t="s">
        <v>188</v>
      </c>
      <c r="D101" s="105" t="s">
        <v>189</v>
      </c>
      <c r="E101" s="103"/>
      <c r="F101" s="103">
        <v>1.0069444444444444E-3</v>
      </c>
      <c r="G101" s="103"/>
      <c r="H101" s="104"/>
    </row>
    <row r="102" spans="1:19" s="80" customFormat="1" ht="19.5" customHeight="1">
      <c r="A102" s="79"/>
      <c r="B102" s="88">
        <f t="shared" si="6"/>
        <v>1.4164583333333343</v>
      </c>
      <c r="C102" s="99" t="s">
        <v>9</v>
      </c>
      <c r="D102" s="100" t="s">
        <v>143</v>
      </c>
      <c r="E102" s="99" t="s">
        <v>107</v>
      </c>
      <c r="F102" s="101">
        <v>2.3148148148148146E-4</v>
      </c>
      <c r="G102" s="90"/>
      <c r="H102" s="89"/>
    </row>
    <row r="103" spans="1:19" s="81" customFormat="1" ht="19.5" customHeight="1">
      <c r="B103" s="88">
        <f t="shared" si="6"/>
        <v>1.4166898148148157</v>
      </c>
      <c r="C103" s="160" t="s">
        <v>10</v>
      </c>
      <c r="D103" s="108" t="s">
        <v>134</v>
      </c>
      <c r="E103" s="161">
        <v>0</v>
      </c>
      <c r="F103" s="161">
        <f>G103-E103</f>
        <v>8.9583333333333338E-3</v>
      </c>
      <c r="G103" s="161">
        <v>8.9583333333333338E-3</v>
      </c>
      <c r="H103" s="71" t="s">
        <v>150</v>
      </c>
    </row>
    <row r="104" spans="1:19" s="81" customFormat="1" ht="19.5" customHeight="1">
      <c r="B104" s="88">
        <f t="shared" si="6"/>
        <v>1.4256481481481491</v>
      </c>
      <c r="C104" s="163" t="s">
        <v>194</v>
      </c>
      <c r="D104" s="164" t="s">
        <v>233</v>
      </c>
      <c r="E104" s="165"/>
      <c r="F104" s="165">
        <v>1.3425925925925925E-3</v>
      </c>
      <c r="G104" s="166"/>
      <c r="H104" s="167"/>
    </row>
    <row r="105" spans="1:19" s="81" customFormat="1" ht="19.5" customHeight="1">
      <c r="B105" s="88">
        <f t="shared" si="6"/>
        <v>1.4269907407407416</v>
      </c>
      <c r="C105" s="160" t="s">
        <v>10</v>
      </c>
      <c r="D105" s="108" t="s">
        <v>134</v>
      </c>
      <c r="E105" s="161">
        <v>0</v>
      </c>
      <c r="F105" s="161">
        <f>G105-E105</f>
        <v>1.0335648148148148E-2</v>
      </c>
      <c r="G105" s="161">
        <v>1.0335648148148148E-2</v>
      </c>
      <c r="H105" s="71" t="s">
        <v>150</v>
      </c>
    </row>
    <row r="106" spans="1:19" s="80" customFormat="1" ht="18.75" customHeight="1">
      <c r="A106" s="79"/>
      <c r="B106" s="88">
        <f t="shared" si="6"/>
        <v>1.4373263888888899</v>
      </c>
      <c r="C106" s="99" t="s">
        <v>9</v>
      </c>
      <c r="D106" s="100" t="s">
        <v>128</v>
      </c>
      <c r="E106" s="99" t="s">
        <v>107</v>
      </c>
      <c r="F106" s="101">
        <v>1.7361111111111112E-4</v>
      </c>
      <c r="G106" s="90"/>
      <c r="H106" s="89"/>
    </row>
    <row r="107" spans="1:19" s="81" customFormat="1" ht="19.5" customHeight="1">
      <c r="B107" s="88">
        <f t="shared" si="6"/>
        <v>1.4375000000000009</v>
      </c>
      <c r="C107" s="89"/>
      <c r="D107" s="173" t="s">
        <v>232</v>
      </c>
      <c r="E107" s="61"/>
      <c r="F107" s="174"/>
      <c r="G107" s="61"/>
      <c r="H107" s="77"/>
    </row>
    <row r="108" spans="1:19" s="81" customFormat="1" ht="19.5" customHeight="1">
      <c r="B108" s="88">
        <f t="shared" si="6"/>
        <v>1.4375000000000009</v>
      </c>
      <c r="C108" s="160" t="s">
        <v>10</v>
      </c>
      <c r="D108" s="108" t="s">
        <v>190</v>
      </c>
      <c r="E108" s="161">
        <v>0</v>
      </c>
      <c r="F108" s="161">
        <f>G108-E108</f>
        <v>1.0787037037037038E-2</v>
      </c>
      <c r="G108" s="161">
        <v>1.0787037037037038E-2</v>
      </c>
      <c r="H108" s="71" t="s">
        <v>103</v>
      </c>
    </row>
    <row r="109" spans="1:19" s="81" customFormat="1" ht="19.5" customHeight="1">
      <c r="B109" s="88">
        <f t="shared" si="6"/>
        <v>1.448287037037038</v>
      </c>
      <c r="C109" s="163" t="s">
        <v>194</v>
      </c>
      <c r="D109" s="164" t="s">
        <v>210</v>
      </c>
      <c r="E109" s="165"/>
      <c r="F109" s="165">
        <v>1.6550925925925926E-3</v>
      </c>
      <c r="G109" s="166"/>
      <c r="H109" s="167"/>
    </row>
    <row r="110" spans="1:19" s="80" customFormat="1" ht="19.5" customHeight="1">
      <c r="B110" s="88">
        <f t="shared" si="6"/>
        <v>1.4499421296296306</v>
      </c>
      <c r="C110" s="92" t="s">
        <v>123</v>
      </c>
      <c r="D110" s="93" t="s">
        <v>124</v>
      </c>
      <c r="E110" s="87"/>
      <c r="F110" s="94">
        <v>5.2083333333333333E-4</v>
      </c>
      <c r="G110" s="92" t="s">
        <v>120</v>
      </c>
      <c r="H110" s="70" t="s">
        <v>119</v>
      </c>
    </row>
    <row r="111" spans="1:19" s="81" customFormat="1" ht="19.5" customHeight="1">
      <c r="B111" s="88">
        <f t="shared" si="6"/>
        <v>1.450462962962964</v>
      </c>
      <c r="C111" s="160" t="s">
        <v>10</v>
      </c>
      <c r="D111" s="108" t="s">
        <v>191</v>
      </c>
      <c r="E111" s="161">
        <v>0</v>
      </c>
      <c r="F111" s="161">
        <f>G111-E111</f>
        <v>5.0347222222222225E-3</v>
      </c>
      <c r="G111" s="161">
        <v>5.0347222222222225E-3</v>
      </c>
      <c r="H111" s="71" t="s">
        <v>103</v>
      </c>
    </row>
    <row r="112" spans="1:19" s="53" customFormat="1" ht="22.5" customHeight="1">
      <c r="B112" s="88">
        <f t="shared" si="6"/>
        <v>1.4554976851851862</v>
      </c>
      <c r="C112" s="136" t="s">
        <v>114</v>
      </c>
      <c r="D112" s="149" t="s">
        <v>115</v>
      </c>
      <c r="E112" s="152"/>
      <c r="F112" s="150">
        <v>3.4722222222222224E-4</v>
      </c>
      <c r="G112" s="151"/>
      <c r="H112" s="140"/>
    </row>
    <row r="113" spans="1:26" s="141" customFormat="1" ht="22.5" customHeight="1">
      <c r="B113" s="88">
        <f t="shared" si="6"/>
        <v>1.4558449074074085</v>
      </c>
      <c r="C113" s="136" t="s">
        <v>111</v>
      </c>
      <c r="D113" s="153" t="s">
        <v>175</v>
      </c>
      <c r="E113" s="133"/>
      <c r="F113" s="143">
        <v>2.199074074074074E-4</v>
      </c>
      <c r="G113" s="148"/>
      <c r="H113" s="154"/>
      <c r="I113" s="153"/>
      <c r="Q113" s="145"/>
      <c r="R113" s="145"/>
      <c r="S113" s="146"/>
    </row>
    <row r="114" spans="1:26" s="81" customFormat="1" ht="19.5" customHeight="1">
      <c r="B114" s="88">
        <f t="shared" si="6"/>
        <v>1.4560648148148159</v>
      </c>
      <c r="C114" s="106" t="s">
        <v>196</v>
      </c>
      <c r="D114" s="105" t="s">
        <v>197</v>
      </c>
      <c r="E114" s="109"/>
      <c r="F114" s="52">
        <v>1.9791666666666668E-3</v>
      </c>
      <c r="G114" s="109"/>
      <c r="H114" s="86">
        <v>41561</v>
      </c>
    </row>
    <row r="115" spans="1:26" s="80" customFormat="1" ht="19.5" customHeight="1">
      <c r="A115" s="79"/>
      <c r="B115" s="88">
        <f t="shared" si="6"/>
        <v>1.4580439814814825</v>
      </c>
      <c r="C115" s="99" t="s">
        <v>9</v>
      </c>
      <c r="D115" s="100" t="s">
        <v>127</v>
      </c>
      <c r="E115" s="99" t="s">
        <v>107</v>
      </c>
      <c r="F115" s="101">
        <v>3.4722222222222224E-4</v>
      </c>
      <c r="G115" s="90"/>
      <c r="H115" s="89"/>
    </row>
    <row r="116" spans="1:26" s="49" customFormat="1" ht="19.5" customHeight="1">
      <c r="B116" s="88">
        <f t="shared" si="6"/>
        <v>1.4583912037037048</v>
      </c>
      <c r="C116" s="160" t="s">
        <v>10</v>
      </c>
      <c r="D116" s="108" t="s">
        <v>198</v>
      </c>
      <c r="E116" s="161">
        <v>0</v>
      </c>
      <c r="F116" s="161">
        <f>G116-E116</f>
        <v>1.0462962962962964E-2</v>
      </c>
      <c r="G116" s="161">
        <v>1.0462962962962964E-2</v>
      </c>
      <c r="H116" s="71" t="s">
        <v>103</v>
      </c>
      <c r="I116" s="63"/>
      <c r="J116" s="63"/>
      <c r="K116" s="63"/>
      <c r="L116" s="63"/>
      <c r="M116" s="63"/>
      <c r="N116" s="63"/>
      <c r="O116" s="63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s="81" customFormat="1" ht="19.5" customHeight="1">
      <c r="B117" s="88">
        <f t="shared" si="6"/>
        <v>1.4688541666666677</v>
      </c>
      <c r="C117" s="163" t="s">
        <v>194</v>
      </c>
      <c r="D117" s="164" t="s">
        <v>195</v>
      </c>
      <c r="E117" s="165"/>
      <c r="F117" s="165">
        <v>4.7453703703703704E-4</v>
      </c>
      <c r="G117" s="166"/>
      <c r="H117" s="167"/>
    </row>
    <row r="118" spans="1:26" ht="19.5" customHeight="1">
      <c r="B118" s="88">
        <f t="shared" si="6"/>
        <v>1.4693287037037046</v>
      </c>
      <c r="C118" s="160" t="s">
        <v>10</v>
      </c>
      <c r="D118" s="108" t="s">
        <v>199</v>
      </c>
      <c r="E118" s="161">
        <v>0</v>
      </c>
      <c r="F118" s="161">
        <f>G118-E118</f>
        <v>8.1828703703703699E-3</v>
      </c>
      <c r="G118" s="161">
        <v>8.1828703703703699E-3</v>
      </c>
      <c r="H118" s="71" t="s">
        <v>103</v>
      </c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s="53" customFormat="1" ht="22.5" customHeight="1">
      <c r="B119" s="88">
        <f t="shared" si="6"/>
        <v>1.477511574074075</v>
      </c>
      <c r="C119" s="56" t="s">
        <v>131</v>
      </c>
      <c r="D119" s="128" t="s">
        <v>159</v>
      </c>
      <c r="E119" s="56"/>
      <c r="F119" s="127">
        <v>3.5879629629629635E-4</v>
      </c>
      <c r="G119" s="129"/>
      <c r="H119" s="130"/>
    </row>
    <row r="120" spans="1:26" s="78" customFormat="1" ht="18.75" customHeight="1">
      <c r="B120" s="88">
        <f t="shared" si="6"/>
        <v>1.4778703703703713</v>
      </c>
      <c r="C120" s="106" t="s">
        <v>302</v>
      </c>
      <c r="D120" s="107" t="s">
        <v>303</v>
      </c>
      <c r="E120" s="109"/>
      <c r="F120" s="103">
        <v>8.1018518518518516E-4</v>
      </c>
      <c r="G120" s="109"/>
      <c r="H120" s="107"/>
    </row>
    <row r="121" spans="1:26" s="58" customFormat="1" ht="22.5" customHeight="1">
      <c r="B121" s="88">
        <f t="shared" ref="B121:B129" si="7">B120+F120</f>
        <v>1.4786805555555564</v>
      </c>
      <c r="C121" s="156" t="s">
        <v>200</v>
      </c>
      <c r="D121" s="67" t="s">
        <v>201</v>
      </c>
      <c r="E121" s="67"/>
      <c r="F121" s="127">
        <v>4.0509259259259258E-4</v>
      </c>
      <c r="G121" s="56"/>
      <c r="H121" s="159"/>
      <c r="I121" s="59"/>
    </row>
    <row r="122" spans="1:26" s="80" customFormat="1" ht="19.5" customHeight="1">
      <c r="A122" s="79"/>
      <c r="B122" s="88">
        <f t="shared" si="7"/>
        <v>1.4790856481481491</v>
      </c>
      <c r="C122" s="99" t="s">
        <v>9</v>
      </c>
      <c r="D122" s="100" t="s">
        <v>110</v>
      </c>
      <c r="E122" s="99" t="s">
        <v>107</v>
      </c>
      <c r="F122" s="101">
        <v>8.1018518518518516E-5</v>
      </c>
      <c r="G122" s="102"/>
      <c r="H122" s="89"/>
    </row>
    <row r="123" spans="1:26" s="81" customFormat="1" ht="19.5" customHeight="1">
      <c r="B123" s="88">
        <f t="shared" si="7"/>
        <v>1.4791666666666676</v>
      </c>
      <c r="C123" s="111" t="s">
        <v>9</v>
      </c>
      <c r="D123" s="112" t="s">
        <v>125</v>
      </c>
      <c r="E123" s="111" t="s">
        <v>107</v>
      </c>
      <c r="F123" s="113">
        <v>3.0092592592592595E-4</v>
      </c>
      <c r="G123" s="114"/>
      <c r="H123" s="115"/>
    </row>
    <row r="124" spans="1:26" s="80" customFormat="1" ht="19.5" customHeight="1">
      <c r="A124" s="65"/>
      <c r="B124" s="88">
        <f t="shared" si="7"/>
        <v>1.4794675925925935</v>
      </c>
      <c r="C124" s="120"/>
      <c r="D124" s="117" t="s">
        <v>112</v>
      </c>
      <c r="E124" s="121"/>
      <c r="F124" s="122"/>
      <c r="G124" s="121"/>
      <c r="H124" s="123"/>
      <c r="I124" s="81"/>
    </row>
    <row r="125" spans="1:26" s="81" customFormat="1" ht="19.5" customHeight="1">
      <c r="B125" s="88">
        <f t="shared" si="7"/>
        <v>1.4794675925925935</v>
      </c>
      <c r="C125" s="160" t="s">
        <v>10</v>
      </c>
      <c r="D125" s="108" t="s">
        <v>126</v>
      </c>
      <c r="E125" s="161">
        <v>0</v>
      </c>
      <c r="F125" s="161">
        <f t="shared" ref="F125" si="8">G125-E125</f>
        <v>4.010416666666667E-2</v>
      </c>
      <c r="G125" s="161">
        <v>4.010416666666667E-2</v>
      </c>
      <c r="H125" s="71" t="s">
        <v>103</v>
      </c>
    </row>
    <row r="126" spans="1:26" s="81" customFormat="1" ht="19.5" customHeight="1">
      <c r="B126" s="88">
        <f t="shared" si="7"/>
        <v>1.5195717592592601</v>
      </c>
      <c r="C126" s="163" t="s">
        <v>194</v>
      </c>
      <c r="D126" s="164" t="s">
        <v>205</v>
      </c>
      <c r="E126" s="165"/>
      <c r="F126" s="165">
        <v>1.7245370370370372E-3</v>
      </c>
      <c r="G126" s="166"/>
      <c r="H126" s="167"/>
    </row>
    <row r="127" spans="1:26" s="58" customFormat="1" ht="22.5" customHeight="1">
      <c r="B127" s="88">
        <f t="shared" si="7"/>
        <v>1.5212962962962973</v>
      </c>
      <c r="C127" s="156" t="s">
        <v>200</v>
      </c>
      <c r="D127" s="67" t="s">
        <v>201</v>
      </c>
      <c r="E127" s="67"/>
      <c r="F127" s="127">
        <v>4.0509259259259258E-4</v>
      </c>
      <c r="G127" s="56"/>
      <c r="H127" s="159"/>
      <c r="I127" s="59"/>
    </row>
    <row r="128" spans="1:26" s="81" customFormat="1" ht="19.5" customHeight="1">
      <c r="B128" s="88">
        <f t="shared" si="7"/>
        <v>1.5217013888888899</v>
      </c>
      <c r="C128" s="160" t="s">
        <v>10</v>
      </c>
      <c r="D128" s="108" t="s">
        <v>132</v>
      </c>
      <c r="E128" s="161">
        <v>0</v>
      </c>
      <c r="F128" s="161">
        <f t="shared" ref="F128" si="9">G128-E128</f>
        <v>1.2916666666666667E-2</v>
      </c>
      <c r="G128" s="161">
        <v>1.2916666666666667E-2</v>
      </c>
      <c r="H128" s="71" t="s">
        <v>103</v>
      </c>
    </row>
    <row r="129" spans="1:8" s="80" customFormat="1" ht="19.5" customHeight="1">
      <c r="A129" s="79"/>
      <c r="B129" s="88">
        <f t="shared" si="7"/>
        <v>1.5346180555555566</v>
      </c>
      <c r="C129" s="91" t="s">
        <v>9</v>
      </c>
      <c r="D129" s="83" t="s">
        <v>100</v>
      </c>
      <c r="E129" s="84"/>
      <c r="F129" s="85">
        <v>8.1018518518518516E-5</v>
      </c>
      <c r="G129" s="90"/>
      <c r="H129" s="82"/>
    </row>
    <row r="130" spans="1:8" s="80" customFormat="1" ht="19.5" customHeight="1">
      <c r="B130" s="88">
        <f t="shared" ref="B130:B196" si="10">B129+F129</f>
        <v>1.5346990740740751</v>
      </c>
      <c r="C130" s="92" t="s">
        <v>297</v>
      </c>
      <c r="D130" s="93" t="s">
        <v>298</v>
      </c>
      <c r="E130" s="87"/>
      <c r="F130" s="94">
        <v>3.8194444444444446E-4</v>
      </c>
      <c r="G130" s="92" t="s">
        <v>120</v>
      </c>
      <c r="H130" s="168">
        <v>41730</v>
      </c>
    </row>
    <row r="131" spans="1:8" s="80" customFormat="1" ht="19.5" customHeight="1">
      <c r="A131" s="79" t="e">
        <f>SUM(#REF!+1)</f>
        <v>#REF!</v>
      </c>
      <c r="B131" s="88">
        <f t="shared" si="10"/>
        <v>1.5350810185185195</v>
      </c>
      <c r="C131" s="91" t="s">
        <v>9</v>
      </c>
      <c r="D131" s="83" t="s">
        <v>101</v>
      </c>
      <c r="E131" s="84"/>
      <c r="F131" s="85">
        <v>8.1018518518518516E-5</v>
      </c>
      <c r="G131" s="90"/>
      <c r="H131" s="82"/>
    </row>
    <row r="132" spans="1:8" s="53" customFormat="1" ht="22.5" customHeight="1">
      <c r="B132" s="88">
        <f t="shared" si="10"/>
        <v>1.535162037037038</v>
      </c>
      <c r="C132" s="156" t="s">
        <v>179</v>
      </c>
      <c r="D132" s="128" t="s">
        <v>180</v>
      </c>
      <c r="E132" s="128"/>
      <c r="F132" s="157">
        <v>5.6712962962962956E-4</v>
      </c>
      <c r="G132" s="158"/>
      <c r="H132" s="159"/>
    </row>
    <row r="133" spans="1:8" s="81" customFormat="1" ht="19.5" customHeight="1">
      <c r="B133" s="88">
        <f t="shared" si="10"/>
        <v>1.5357291666666677</v>
      </c>
      <c r="C133" s="160" t="s">
        <v>10</v>
      </c>
      <c r="D133" s="108" t="s">
        <v>133</v>
      </c>
      <c r="E133" s="161">
        <v>0</v>
      </c>
      <c r="F133" s="161">
        <f t="shared" ref="F133" si="11">G133-E133</f>
        <v>4.9305555555555552E-3</v>
      </c>
      <c r="G133" s="161">
        <v>4.9305555555555552E-3</v>
      </c>
      <c r="H133" s="71" t="s">
        <v>103</v>
      </c>
    </row>
    <row r="134" spans="1:8" s="53" customFormat="1" ht="22.5" customHeight="1">
      <c r="B134" s="88">
        <f t="shared" si="10"/>
        <v>1.5406597222222234</v>
      </c>
      <c r="C134" s="56" t="s">
        <v>181</v>
      </c>
      <c r="D134" s="158" t="s">
        <v>182</v>
      </c>
      <c r="E134" s="158"/>
      <c r="F134" s="157">
        <v>3.3564814814814812E-4</v>
      </c>
      <c r="G134" s="158"/>
      <c r="H134" s="67"/>
    </row>
    <row r="135" spans="1:8" s="80" customFormat="1" ht="19.5" customHeight="1">
      <c r="B135" s="88">
        <f t="shared" si="10"/>
        <v>1.5409953703703716</v>
      </c>
      <c r="C135" s="169" t="s">
        <v>9</v>
      </c>
      <c r="D135" s="83" t="s">
        <v>100</v>
      </c>
      <c r="E135" s="84"/>
      <c r="F135" s="85">
        <v>8.1018518518518516E-5</v>
      </c>
      <c r="G135" s="170"/>
      <c r="H135" s="171"/>
    </row>
    <row r="136" spans="1:8" s="80" customFormat="1" ht="19.5" customHeight="1">
      <c r="A136" s="80" t="e">
        <f>SUM(#REF!+1)</f>
        <v>#REF!</v>
      </c>
      <c r="B136" s="88">
        <f t="shared" si="10"/>
        <v>1.5410763888888901</v>
      </c>
      <c r="C136" s="92" t="s">
        <v>253</v>
      </c>
      <c r="D136" s="93" t="s">
        <v>254</v>
      </c>
      <c r="E136" s="87"/>
      <c r="F136" s="94">
        <v>4.9768518518518521E-4</v>
      </c>
      <c r="G136" s="92" t="s">
        <v>120</v>
      </c>
      <c r="H136" s="70" t="s">
        <v>119</v>
      </c>
    </row>
    <row r="137" spans="1:8" s="80" customFormat="1" ht="19.5" customHeight="1">
      <c r="A137" s="80" t="e">
        <f>SUM(A136+1)</f>
        <v>#REF!</v>
      </c>
      <c r="B137" s="88">
        <f t="shared" si="10"/>
        <v>1.5415740740740753</v>
      </c>
      <c r="C137" s="169" t="s">
        <v>9</v>
      </c>
      <c r="D137" s="83" t="s">
        <v>101</v>
      </c>
      <c r="E137" s="84"/>
      <c r="F137" s="85">
        <v>8.1018518518518516E-5</v>
      </c>
      <c r="G137" s="170"/>
      <c r="H137" s="171"/>
    </row>
    <row r="138" spans="1:8" s="81" customFormat="1" ht="19.5" customHeight="1">
      <c r="B138" s="88">
        <f t="shared" si="10"/>
        <v>1.5416550925925938</v>
      </c>
      <c r="C138" s="73" t="s">
        <v>10</v>
      </c>
      <c r="D138" s="74" t="s">
        <v>209</v>
      </c>
      <c r="E138" s="75">
        <v>0</v>
      </c>
      <c r="F138" s="75">
        <f>G138-E138</f>
        <v>3.2407407407407406E-2</v>
      </c>
      <c r="G138" s="75">
        <v>3.2407407407407406E-2</v>
      </c>
      <c r="H138" s="110" t="s">
        <v>117</v>
      </c>
    </row>
    <row r="139" spans="1:8" s="81" customFormat="1" ht="19.5" customHeight="1">
      <c r="B139" s="88">
        <f t="shared" si="10"/>
        <v>1.5740625000000013</v>
      </c>
      <c r="C139" s="163" t="s">
        <v>194</v>
      </c>
      <c r="D139" s="164" t="s">
        <v>214</v>
      </c>
      <c r="E139" s="165"/>
      <c r="F139" s="165">
        <v>1.8287037037037037E-3</v>
      </c>
      <c r="G139" s="166"/>
      <c r="H139" s="167"/>
    </row>
    <row r="140" spans="1:8" s="80" customFormat="1" ht="19.5" customHeight="1">
      <c r="B140" s="88">
        <f t="shared" si="10"/>
        <v>1.5758912037037049</v>
      </c>
      <c r="C140" s="92" t="s">
        <v>211</v>
      </c>
      <c r="D140" s="93" t="s">
        <v>212</v>
      </c>
      <c r="E140" s="87"/>
      <c r="F140" s="94">
        <v>5.2083333333333333E-4</v>
      </c>
      <c r="G140" s="92" t="s">
        <v>120</v>
      </c>
      <c r="H140" s="172" t="s">
        <v>208</v>
      </c>
    </row>
    <row r="141" spans="1:8" s="81" customFormat="1" ht="19.5" customHeight="1">
      <c r="B141" s="88">
        <f t="shared" si="10"/>
        <v>1.5764120370370382</v>
      </c>
      <c r="C141" s="73" t="s">
        <v>10</v>
      </c>
      <c r="D141" s="74" t="s">
        <v>209</v>
      </c>
      <c r="E141" s="75">
        <v>0</v>
      </c>
      <c r="F141" s="75">
        <f>G141-E141</f>
        <v>0</v>
      </c>
      <c r="G141" s="75">
        <v>0</v>
      </c>
      <c r="H141" s="110" t="s">
        <v>117</v>
      </c>
    </row>
    <row r="142" spans="1:8" s="81" customFormat="1" ht="19.5" customHeight="1">
      <c r="B142" s="88">
        <f t="shared" si="10"/>
        <v>1.5764120370370382</v>
      </c>
      <c r="C142" s="89"/>
      <c r="D142" s="76" t="s">
        <v>213</v>
      </c>
      <c r="E142" s="61"/>
      <c r="F142" s="62"/>
      <c r="G142" s="61"/>
      <c r="H142" s="77"/>
    </row>
    <row r="143" spans="1:8" s="53" customFormat="1" ht="22.5" customHeight="1">
      <c r="B143" s="88">
        <f t="shared" si="10"/>
        <v>1.5764120370370382</v>
      </c>
      <c r="C143" s="56" t="s">
        <v>131</v>
      </c>
      <c r="D143" s="128" t="s">
        <v>159</v>
      </c>
      <c r="E143" s="56"/>
      <c r="F143" s="127">
        <v>3.5879629629629635E-4</v>
      </c>
      <c r="G143" s="129"/>
      <c r="H143" s="130"/>
    </row>
    <row r="144" spans="1:8" s="53" customFormat="1" ht="22.5" customHeight="1">
      <c r="B144" s="88">
        <f t="shared" si="10"/>
        <v>1.5767708333333346</v>
      </c>
      <c r="C144" s="56" t="s">
        <v>142</v>
      </c>
      <c r="D144" s="128" t="s">
        <v>176</v>
      </c>
      <c r="E144" s="128"/>
      <c r="F144" s="127">
        <v>3.7037037037037035E-4</v>
      </c>
      <c r="G144" s="155"/>
      <c r="H144" s="130"/>
    </row>
    <row r="145" spans="1:9" s="58" customFormat="1" ht="22.5" customHeight="1">
      <c r="B145" s="88">
        <f t="shared" si="10"/>
        <v>1.5771412037037049</v>
      </c>
      <c r="C145" s="156" t="s">
        <v>200</v>
      </c>
      <c r="D145" s="67" t="s">
        <v>201</v>
      </c>
      <c r="E145" s="67"/>
      <c r="F145" s="127">
        <v>4.0509259259259258E-4</v>
      </c>
      <c r="G145" s="56"/>
      <c r="H145" s="159"/>
      <c r="I145" s="59"/>
    </row>
    <row r="146" spans="1:9" s="78" customFormat="1" ht="19.5" customHeight="1">
      <c r="B146" s="88">
        <f t="shared" si="10"/>
        <v>1.5775462962962976</v>
      </c>
      <c r="C146" s="104" t="s">
        <v>217</v>
      </c>
      <c r="D146" s="105" t="s">
        <v>218</v>
      </c>
      <c r="E146" s="109"/>
      <c r="F146" s="103">
        <v>1.9791666666666668E-3</v>
      </c>
      <c r="G146" s="109"/>
      <c r="H146" s="107"/>
    </row>
    <row r="147" spans="1:9" s="78" customFormat="1" ht="19.5" customHeight="1">
      <c r="B147" s="88">
        <f t="shared" si="10"/>
        <v>1.5795254629629643</v>
      </c>
      <c r="C147" s="104" t="s">
        <v>203</v>
      </c>
      <c r="D147" s="107" t="s">
        <v>204</v>
      </c>
      <c r="E147" s="109"/>
      <c r="F147" s="52">
        <v>2.3958333333333336E-3</v>
      </c>
      <c r="G147" s="109"/>
      <c r="H147" s="86">
        <v>41639</v>
      </c>
    </row>
    <row r="148" spans="1:9" s="53" customFormat="1" ht="22.5" customHeight="1">
      <c r="B148" s="88">
        <f t="shared" si="10"/>
        <v>1.5819212962962976</v>
      </c>
      <c r="C148" s="156" t="s">
        <v>179</v>
      </c>
      <c r="D148" s="128" t="s">
        <v>180</v>
      </c>
      <c r="E148" s="128"/>
      <c r="F148" s="157">
        <v>5.6712962962962956E-4</v>
      </c>
      <c r="G148" s="131"/>
      <c r="H148" s="140"/>
    </row>
    <row r="149" spans="1:9" s="53" customFormat="1" ht="22.5" customHeight="1">
      <c r="B149" s="88">
        <f t="shared" si="10"/>
        <v>1.5824884259259273</v>
      </c>
      <c r="C149" s="56" t="s">
        <v>181</v>
      </c>
      <c r="D149" s="158" t="s">
        <v>182</v>
      </c>
      <c r="E149" s="158"/>
      <c r="F149" s="157">
        <v>3.3564814814814812E-4</v>
      </c>
      <c r="G149" s="155"/>
      <c r="H149" s="130"/>
    </row>
    <row r="150" spans="1:9" s="80" customFormat="1" ht="19.5" customHeight="1">
      <c r="A150" s="79"/>
      <c r="B150" s="88">
        <f t="shared" si="10"/>
        <v>1.5828240740740755</v>
      </c>
      <c r="C150" s="91" t="s">
        <v>9</v>
      </c>
      <c r="D150" s="83" t="s">
        <v>100</v>
      </c>
      <c r="E150" s="84"/>
      <c r="F150" s="85">
        <v>8.1018518518518516E-5</v>
      </c>
      <c r="G150" s="90"/>
      <c r="H150" s="82"/>
    </row>
    <row r="151" spans="1:9" s="80" customFormat="1" ht="19.5" customHeight="1">
      <c r="B151" s="88">
        <f t="shared" si="10"/>
        <v>1.582905092592594</v>
      </c>
      <c r="C151" s="92" t="s">
        <v>304</v>
      </c>
      <c r="D151" s="93" t="s">
        <v>305</v>
      </c>
      <c r="E151" s="87"/>
      <c r="F151" s="94">
        <v>3.4722222222222224E-4</v>
      </c>
      <c r="G151" s="92" t="s">
        <v>120</v>
      </c>
      <c r="H151" s="70" t="s">
        <v>119</v>
      </c>
    </row>
    <row r="152" spans="1:9" s="80" customFormat="1" ht="19.5" customHeight="1">
      <c r="A152" s="79"/>
      <c r="B152" s="88">
        <f t="shared" si="10"/>
        <v>1.5832523148148163</v>
      </c>
      <c r="C152" s="91" t="s">
        <v>9</v>
      </c>
      <c r="D152" s="83" t="s">
        <v>101</v>
      </c>
      <c r="E152" s="84"/>
      <c r="F152" s="85">
        <v>8.1018518518518516E-5</v>
      </c>
      <c r="G152" s="90"/>
      <c r="H152" s="82"/>
    </row>
    <row r="153" spans="1:9" s="81" customFormat="1" ht="19.5" customHeight="1">
      <c r="B153" s="88">
        <f t="shared" si="10"/>
        <v>1.5833333333333348</v>
      </c>
      <c r="C153" s="192"/>
      <c r="D153" s="117" t="s">
        <v>112</v>
      </c>
      <c r="E153" s="193"/>
      <c r="F153" s="193"/>
      <c r="G153" s="193"/>
      <c r="H153" s="194"/>
    </row>
    <row r="154" spans="1:9" s="80" customFormat="1" ht="19.5" customHeight="1">
      <c r="A154" s="79">
        <f>SUM(A146+1)</f>
        <v>1</v>
      </c>
      <c r="B154" s="88">
        <f t="shared" si="10"/>
        <v>1.5833333333333348</v>
      </c>
      <c r="C154" s="111" t="s">
        <v>9</v>
      </c>
      <c r="D154" s="112" t="s">
        <v>144</v>
      </c>
      <c r="E154" s="111" t="s">
        <v>107</v>
      </c>
      <c r="F154" s="113">
        <v>3.4722222222222224E-4</v>
      </c>
      <c r="G154" s="114"/>
      <c r="H154" s="195"/>
    </row>
    <row r="155" spans="1:9" s="81" customFormat="1" ht="19.5" customHeight="1">
      <c r="B155" s="88">
        <f t="shared" si="10"/>
        <v>1.5836805555555571</v>
      </c>
      <c r="C155" s="89"/>
      <c r="D155" s="173" t="s">
        <v>219</v>
      </c>
      <c r="E155" s="61"/>
      <c r="F155" s="174"/>
      <c r="G155" s="61"/>
      <c r="H155" s="77"/>
    </row>
    <row r="156" spans="1:9" s="81" customFormat="1" ht="19.5" customHeight="1">
      <c r="B156" s="88">
        <f t="shared" si="10"/>
        <v>1.5836805555555571</v>
      </c>
      <c r="C156" s="160" t="s">
        <v>10</v>
      </c>
      <c r="D156" s="108" t="s">
        <v>215</v>
      </c>
      <c r="E156" s="161">
        <v>0</v>
      </c>
      <c r="F156" s="161">
        <f>G156-E156</f>
        <v>2.1226851851851854E-2</v>
      </c>
      <c r="G156" s="161">
        <v>2.1226851851851854E-2</v>
      </c>
      <c r="H156" s="71" t="s">
        <v>103</v>
      </c>
    </row>
    <row r="157" spans="1:9" s="81" customFormat="1" ht="19.5" customHeight="1">
      <c r="B157" s="88">
        <f t="shared" si="10"/>
        <v>1.604907407407409</v>
      </c>
      <c r="C157" s="163" t="s">
        <v>194</v>
      </c>
      <c r="D157" s="164" t="s">
        <v>220</v>
      </c>
      <c r="E157" s="165"/>
      <c r="F157" s="165">
        <v>1.4467592592592594E-3</v>
      </c>
      <c r="G157" s="166"/>
      <c r="H157" s="167"/>
    </row>
    <row r="158" spans="1:9" s="80" customFormat="1" ht="19.5" customHeight="1">
      <c r="B158" s="88">
        <f t="shared" si="10"/>
        <v>1.6063541666666683</v>
      </c>
      <c r="C158" s="92" t="s">
        <v>221</v>
      </c>
      <c r="D158" s="93" t="s">
        <v>222</v>
      </c>
      <c r="E158" s="87"/>
      <c r="F158" s="94">
        <v>5.3240740740740744E-4</v>
      </c>
      <c r="G158" s="92" t="s">
        <v>120</v>
      </c>
      <c r="H158" s="172" t="s">
        <v>208</v>
      </c>
    </row>
    <row r="159" spans="1:9" s="81" customFormat="1" ht="19.5" customHeight="1">
      <c r="B159" s="88">
        <f t="shared" si="10"/>
        <v>1.6068865740740756</v>
      </c>
      <c r="C159" s="160" t="s">
        <v>10</v>
      </c>
      <c r="D159" s="108" t="s">
        <v>216</v>
      </c>
      <c r="E159" s="161">
        <v>0</v>
      </c>
      <c r="F159" s="161">
        <f>G159-E159</f>
        <v>1.4710648148148148E-2</v>
      </c>
      <c r="G159" s="161">
        <v>1.4710648148148148E-2</v>
      </c>
      <c r="H159" s="71" t="s">
        <v>103</v>
      </c>
    </row>
    <row r="160" spans="1:9" s="53" customFormat="1" ht="22.5" customHeight="1">
      <c r="B160" s="88">
        <f t="shared" si="10"/>
        <v>1.6215972222222237</v>
      </c>
      <c r="C160" s="136" t="s">
        <v>121</v>
      </c>
      <c r="D160" s="149" t="s">
        <v>122</v>
      </c>
      <c r="E160" s="131"/>
      <c r="F160" s="143">
        <v>3.4722222222222224E-4</v>
      </c>
      <c r="G160" s="151"/>
      <c r="H160" s="140"/>
    </row>
    <row r="161" spans="2:9" s="53" customFormat="1" ht="22.5" customHeight="1">
      <c r="B161" s="88">
        <f t="shared" si="10"/>
        <v>1.621944444444446</v>
      </c>
      <c r="C161" s="56" t="s">
        <v>131</v>
      </c>
      <c r="D161" s="128" t="s">
        <v>159</v>
      </c>
      <c r="E161" s="56"/>
      <c r="F161" s="127">
        <v>3.5879629629629635E-4</v>
      </c>
      <c r="G161" s="129"/>
      <c r="H161" s="130"/>
    </row>
    <row r="162" spans="2:9" s="53" customFormat="1" ht="22.5" customHeight="1">
      <c r="B162" s="88">
        <f t="shared" si="10"/>
        <v>1.6223032407407423</v>
      </c>
      <c r="C162" s="56" t="s">
        <v>138</v>
      </c>
      <c r="D162" s="128" t="s">
        <v>160</v>
      </c>
      <c r="E162" s="56"/>
      <c r="F162" s="127">
        <v>7.0601851851851847E-4</v>
      </c>
      <c r="G162" s="130"/>
      <c r="H162" s="131"/>
    </row>
    <row r="163" spans="2:9" s="78" customFormat="1" ht="19.5" customHeight="1">
      <c r="B163" s="88">
        <f t="shared" si="10"/>
        <v>1.6230092592592609</v>
      </c>
      <c r="C163" s="106" t="s">
        <v>169</v>
      </c>
      <c r="D163" s="105" t="s">
        <v>170</v>
      </c>
      <c r="E163" s="103"/>
      <c r="F163" s="103">
        <v>1.6550925925925926E-3</v>
      </c>
      <c r="G163" s="103"/>
      <c r="H163" s="104"/>
    </row>
    <row r="164" spans="2:9" s="58" customFormat="1" ht="22.5" customHeight="1">
      <c r="B164" s="88">
        <f t="shared" si="10"/>
        <v>1.6246643518518535</v>
      </c>
      <c r="C164" s="156" t="s">
        <v>200</v>
      </c>
      <c r="D164" s="67" t="s">
        <v>201</v>
      </c>
      <c r="E164" s="67"/>
      <c r="F164" s="127">
        <v>4.0509259259259258E-4</v>
      </c>
      <c r="G164" s="56"/>
      <c r="H164" s="159"/>
      <c r="I164" s="59"/>
    </row>
    <row r="165" spans="2:9" s="81" customFormat="1" ht="19.5" customHeight="1">
      <c r="B165" s="88">
        <f t="shared" si="10"/>
        <v>1.6250694444444462</v>
      </c>
      <c r="C165" s="111" t="s">
        <v>9</v>
      </c>
      <c r="D165" s="112" t="s">
        <v>226</v>
      </c>
      <c r="E165" s="111" t="s">
        <v>107</v>
      </c>
      <c r="F165" s="113">
        <v>2.0833333333333335E-4</v>
      </c>
      <c r="G165" s="114"/>
      <c r="H165" s="115"/>
    </row>
    <row r="166" spans="2:9" s="81" customFormat="1" ht="19.5" customHeight="1">
      <c r="B166" s="88">
        <f t="shared" si="10"/>
        <v>1.6252777777777796</v>
      </c>
      <c r="C166" s="89"/>
      <c r="D166" s="173" t="s">
        <v>219</v>
      </c>
      <c r="E166" s="61"/>
      <c r="F166" s="174"/>
      <c r="G166" s="61"/>
      <c r="H166" s="77"/>
    </row>
    <row r="167" spans="2:9" s="81" customFormat="1" ht="19.5" customHeight="1">
      <c r="B167" s="88">
        <f t="shared" si="10"/>
        <v>1.6252777777777796</v>
      </c>
      <c r="C167" s="124" t="s">
        <v>10</v>
      </c>
      <c r="D167" s="125" t="s">
        <v>223</v>
      </c>
      <c r="E167" s="126">
        <v>0</v>
      </c>
      <c r="F167" s="126">
        <f>G167-E167</f>
        <v>3.2407407407407406E-2</v>
      </c>
      <c r="G167" s="126">
        <v>3.2407407407407406E-2</v>
      </c>
      <c r="H167" s="110" t="s">
        <v>103</v>
      </c>
    </row>
    <row r="168" spans="2:9" s="81" customFormat="1" ht="19.5" customHeight="1">
      <c r="B168" s="88">
        <f t="shared" si="10"/>
        <v>1.657685185185187</v>
      </c>
      <c r="C168" s="163" t="s">
        <v>194</v>
      </c>
      <c r="D168" s="164" t="s">
        <v>225</v>
      </c>
      <c r="E168" s="165"/>
      <c r="F168" s="165">
        <v>7.8703703703703705E-4</v>
      </c>
      <c r="G168" s="166"/>
      <c r="H168" s="167"/>
    </row>
    <row r="169" spans="2:9" s="53" customFormat="1" ht="22.5" customHeight="1">
      <c r="B169" s="88">
        <f t="shared" si="10"/>
        <v>1.6584722222222241</v>
      </c>
      <c r="C169" s="156" t="s">
        <v>179</v>
      </c>
      <c r="D169" s="128" t="s">
        <v>229</v>
      </c>
      <c r="E169" s="128"/>
      <c r="F169" s="157">
        <v>5.6712962962962956E-4</v>
      </c>
      <c r="G169" s="128"/>
      <c r="H169" s="159"/>
    </row>
    <row r="170" spans="2:9" s="58" customFormat="1" ht="22.5" customHeight="1">
      <c r="B170" s="88">
        <f t="shared" si="10"/>
        <v>1.6590393518518538</v>
      </c>
      <c r="C170" s="156" t="s">
        <v>200</v>
      </c>
      <c r="D170" s="67" t="s">
        <v>261</v>
      </c>
      <c r="E170" s="67"/>
      <c r="F170" s="127">
        <v>4.0509259259259258E-4</v>
      </c>
      <c r="G170" s="56"/>
      <c r="H170" s="159"/>
      <c r="I170" s="59"/>
    </row>
    <row r="171" spans="2:9" s="81" customFormat="1" ht="19.5" customHeight="1">
      <c r="B171" s="88">
        <f t="shared" si="10"/>
        <v>1.6594444444444465</v>
      </c>
      <c r="C171" s="124" t="s">
        <v>10</v>
      </c>
      <c r="D171" s="125" t="s">
        <v>224</v>
      </c>
      <c r="E171" s="126">
        <v>0</v>
      </c>
      <c r="F171" s="126">
        <f>G171-E171</f>
        <v>0</v>
      </c>
      <c r="G171" s="126">
        <v>0</v>
      </c>
      <c r="H171" s="110" t="s">
        <v>103</v>
      </c>
    </row>
    <row r="172" spans="2:9" s="81" customFormat="1" ht="19.5" customHeight="1">
      <c r="B172" s="88">
        <f t="shared" si="10"/>
        <v>1.6594444444444465</v>
      </c>
      <c r="C172" s="89"/>
      <c r="D172" s="76" t="s">
        <v>213</v>
      </c>
      <c r="E172" s="61"/>
      <c r="F172" s="62"/>
      <c r="H172" s="77"/>
    </row>
    <row r="173" spans="2:9" s="53" customFormat="1" ht="22.5" customHeight="1">
      <c r="B173" s="88">
        <f t="shared" si="10"/>
        <v>1.6594444444444465</v>
      </c>
      <c r="C173" s="56" t="s">
        <v>138</v>
      </c>
      <c r="D173" s="128" t="s">
        <v>160</v>
      </c>
      <c r="E173" s="56"/>
      <c r="F173" s="127">
        <v>7.0601851851851847E-4</v>
      </c>
      <c r="G173" s="130"/>
      <c r="H173" s="131"/>
    </row>
    <row r="174" spans="2:9" s="53" customFormat="1" ht="22.5" customHeight="1">
      <c r="B174" s="88">
        <f t="shared" si="10"/>
        <v>1.6601504629629651</v>
      </c>
      <c r="C174" s="56" t="s">
        <v>139</v>
      </c>
      <c r="D174" s="128" t="s">
        <v>161</v>
      </c>
      <c r="E174" s="56"/>
      <c r="F174" s="127">
        <v>4.0509259259259258E-4</v>
      </c>
      <c r="G174" s="132"/>
      <c r="H174" s="132"/>
    </row>
    <row r="175" spans="2:9" s="78" customFormat="1" ht="19.5" customHeight="1">
      <c r="B175" s="88">
        <f t="shared" si="10"/>
        <v>1.6605555555555578</v>
      </c>
      <c r="C175" s="106" t="s">
        <v>306</v>
      </c>
      <c r="D175" s="105" t="s">
        <v>307</v>
      </c>
      <c r="E175" s="103"/>
      <c r="F175" s="103">
        <v>1.2962962962962963E-3</v>
      </c>
      <c r="G175" s="103"/>
      <c r="H175" s="104"/>
    </row>
    <row r="176" spans="2:9" s="78" customFormat="1" ht="19.5" customHeight="1">
      <c r="B176" s="88">
        <f t="shared" si="10"/>
        <v>1.6618518518518541</v>
      </c>
      <c r="C176" s="106" t="s">
        <v>129</v>
      </c>
      <c r="D176" s="107" t="s">
        <v>130</v>
      </c>
      <c r="E176" s="109"/>
      <c r="F176" s="103">
        <v>3.6342592592592594E-3</v>
      </c>
      <c r="G176" s="109"/>
      <c r="H176" s="107"/>
    </row>
    <row r="177" spans="1:8" s="53" customFormat="1" ht="22.5" customHeight="1">
      <c r="B177" s="88">
        <f t="shared" si="10"/>
        <v>1.6654861111111134</v>
      </c>
      <c r="C177" s="56" t="s">
        <v>181</v>
      </c>
      <c r="D177" s="158" t="s">
        <v>182</v>
      </c>
      <c r="E177" s="158"/>
      <c r="F177" s="157">
        <v>3.3564814814814812E-4</v>
      </c>
      <c r="G177" s="158"/>
      <c r="H177" s="67"/>
    </row>
    <row r="178" spans="1:8" s="53" customFormat="1" ht="22.5" customHeight="1">
      <c r="B178" s="88">
        <f t="shared" si="10"/>
        <v>1.6658217592592617</v>
      </c>
      <c r="C178" s="56" t="s">
        <v>262</v>
      </c>
      <c r="D178" s="128" t="s">
        <v>263</v>
      </c>
      <c r="E178" s="128"/>
      <c r="F178" s="157">
        <v>3.4722222222222224E-4</v>
      </c>
      <c r="G178" s="188"/>
      <c r="H178" s="67"/>
    </row>
    <row r="179" spans="1:8" s="80" customFormat="1" ht="19.5" customHeight="1">
      <c r="A179" s="80">
        <f>SUM(A176+1)</f>
        <v>1</v>
      </c>
      <c r="B179" s="88">
        <f t="shared" si="10"/>
        <v>1.666168981481484</v>
      </c>
      <c r="C179" s="169" t="s">
        <v>9</v>
      </c>
      <c r="D179" s="83" t="s">
        <v>100</v>
      </c>
      <c r="E179" s="84"/>
      <c r="F179" s="85">
        <v>8.1018518518518516E-5</v>
      </c>
      <c r="G179" s="170"/>
      <c r="H179" s="171"/>
    </row>
    <row r="180" spans="1:8" s="80" customFormat="1" ht="19.5" customHeight="1">
      <c r="A180" s="80" t="e">
        <f>SUM(#REF!+1)</f>
        <v>#REF!</v>
      </c>
      <c r="B180" s="88">
        <f t="shared" si="10"/>
        <v>1.6662500000000025</v>
      </c>
      <c r="C180" s="92" t="s">
        <v>265</v>
      </c>
      <c r="D180" s="93" t="s">
        <v>264</v>
      </c>
      <c r="E180" s="87"/>
      <c r="F180" s="94">
        <v>5.2083333333333333E-4</v>
      </c>
      <c r="G180" s="92" t="s">
        <v>202</v>
      </c>
      <c r="H180" s="168">
        <v>41780</v>
      </c>
    </row>
    <row r="181" spans="1:8" s="80" customFormat="1" ht="19.5" customHeight="1">
      <c r="A181" s="80" t="e">
        <f>SUM(#REF!+1)</f>
        <v>#REF!</v>
      </c>
      <c r="B181" s="88">
        <f t="shared" si="10"/>
        <v>1.6667708333333358</v>
      </c>
      <c r="C181" s="169" t="s">
        <v>9</v>
      </c>
      <c r="D181" s="83" t="s">
        <v>101</v>
      </c>
      <c r="E181" s="84"/>
      <c r="F181" s="85">
        <v>8.1018518518518516E-5</v>
      </c>
      <c r="G181" s="170"/>
      <c r="H181" s="171"/>
    </row>
    <row r="182" spans="1:8" s="81" customFormat="1" ht="19.5" customHeight="1">
      <c r="B182" s="88">
        <f t="shared" si="10"/>
        <v>1.6668518518518542</v>
      </c>
      <c r="C182" s="192"/>
      <c r="D182" s="117" t="s">
        <v>112</v>
      </c>
      <c r="E182" s="193"/>
      <c r="F182" s="193"/>
      <c r="G182" s="193"/>
      <c r="H182" s="194"/>
    </row>
    <row r="183" spans="1:8" s="81" customFormat="1" ht="19.5" customHeight="1">
      <c r="B183" s="88">
        <f t="shared" si="10"/>
        <v>1.6668518518518542</v>
      </c>
      <c r="C183" s="124" t="s">
        <v>10</v>
      </c>
      <c r="D183" s="125" t="s">
        <v>236</v>
      </c>
      <c r="E183" s="126">
        <v>0</v>
      </c>
      <c r="F183" s="126">
        <f>G183-E183</f>
        <v>3.4722222222222224E-2</v>
      </c>
      <c r="G183" s="126">
        <v>3.4722222222222224E-2</v>
      </c>
      <c r="H183" s="175">
        <v>41688</v>
      </c>
    </row>
    <row r="184" spans="1:8" s="80" customFormat="1" ht="19.5" customHeight="1">
      <c r="A184" s="80" t="e">
        <f>SUM(A181+1)</f>
        <v>#REF!</v>
      </c>
      <c r="B184" s="88">
        <f t="shared" si="10"/>
        <v>1.7015740740740766</v>
      </c>
      <c r="C184" s="169" t="s">
        <v>9</v>
      </c>
      <c r="D184" s="83" t="s">
        <v>100</v>
      </c>
      <c r="E184" s="84"/>
      <c r="F184" s="85">
        <v>8.1018518518518516E-5</v>
      </c>
      <c r="G184" s="170"/>
      <c r="H184" s="171"/>
    </row>
    <row r="185" spans="1:8" s="80" customFormat="1" ht="18.75" customHeight="1">
      <c r="A185" s="80" t="e">
        <f>SUM(A184+1)</f>
        <v>#REF!</v>
      </c>
      <c r="B185" s="88">
        <f t="shared" si="10"/>
        <v>1.7016550925925951</v>
      </c>
      <c r="C185" s="92" t="s">
        <v>230</v>
      </c>
      <c r="D185" s="93" t="s">
        <v>231</v>
      </c>
      <c r="E185" s="87"/>
      <c r="F185" s="94">
        <v>3.5879629629629635E-4</v>
      </c>
      <c r="G185" s="92" t="s">
        <v>202</v>
      </c>
      <c r="H185" s="168">
        <v>41780</v>
      </c>
    </row>
    <row r="186" spans="1:8" s="80" customFormat="1" ht="19.5" customHeight="1">
      <c r="A186" s="80" t="e">
        <f>SUM(A185+1)</f>
        <v>#REF!</v>
      </c>
      <c r="B186" s="88">
        <f t="shared" si="10"/>
        <v>1.7020138888888914</v>
      </c>
      <c r="C186" s="169" t="s">
        <v>9</v>
      </c>
      <c r="D186" s="83" t="s">
        <v>101</v>
      </c>
      <c r="E186" s="84"/>
      <c r="F186" s="85">
        <v>8.1018518518518516E-5</v>
      </c>
      <c r="G186" s="170"/>
      <c r="H186" s="171"/>
    </row>
    <row r="187" spans="1:8" s="53" customFormat="1" ht="22.5" customHeight="1">
      <c r="B187" s="88">
        <f t="shared" si="10"/>
        <v>1.7020949074074099</v>
      </c>
      <c r="C187" s="56" t="s">
        <v>181</v>
      </c>
      <c r="D187" s="158" t="s">
        <v>182</v>
      </c>
      <c r="E187" s="158"/>
      <c r="F187" s="157">
        <v>3.3564814814814812E-4</v>
      </c>
      <c r="G187" s="158"/>
      <c r="H187" s="67"/>
    </row>
    <row r="188" spans="1:8" s="81" customFormat="1" ht="19.5" customHeight="1">
      <c r="B188" s="88">
        <f t="shared" si="10"/>
        <v>1.7024305555555581</v>
      </c>
      <c r="C188" s="124" t="s">
        <v>10</v>
      </c>
      <c r="D188" s="125" t="s">
        <v>237</v>
      </c>
      <c r="E188" s="126">
        <v>0</v>
      </c>
      <c r="F188" s="126">
        <f>G188-E188</f>
        <v>0</v>
      </c>
      <c r="G188" s="126">
        <v>0</v>
      </c>
      <c r="H188" s="175">
        <v>41688</v>
      </c>
    </row>
    <row r="189" spans="1:8" s="57" customFormat="1" ht="22.5" customHeight="1">
      <c r="B189" s="88">
        <f t="shared" si="10"/>
        <v>1.7024305555555581</v>
      </c>
      <c r="C189" s="136" t="s">
        <v>266</v>
      </c>
      <c r="D189" s="189" t="s">
        <v>267</v>
      </c>
      <c r="E189" s="190"/>
      <c r="F189" s="150">
        <v>5.0925925925925921E-4</v>
      </c>
      <c r="G189" s="67"/>
      <c r="H189" s="191"/>
    </row>
    <row r="190" spans="1:8" s="53" customFormat="1" ht="22.5" customHeight="1">
      <c r="B190" s="88">
        <f t="shared" si="10"/>
        <v>1.7029398148148174</v>
      </c>
      <c r="C190" s="56" t="s">
        <v>138</v>
      </c>
      <c r="D190" s="128" t="s">
        <v>160</v>
      </c>
      <c r="E190" s="56"/>
      <c r="F190" s="127">
        <v>7.0601851851851847E-4</v>
      </c>
      <c r="G190" s="130"/>
      <c r="H190" s="131"/>
    </row>
    <row r="191" spans="1:8" s="81" customFormat="1" ht="19.5" customHeight="1">
      <c r="B191" s="88">
        <f t="shared" si="10"/>
        <v>1.703645833333336</v>
      </c>
      <c r="C191" s="104" t="s">
        <v>268</v>
      </c>
      <c r="D191" s="105" t="s">
        <v>269</v>
      </c>
      <c r="E191" s="109"/>
      <c r="F191" s="103">
        <v>2.8935185185185188E-3</v>
      </c>
      <c r="G191" s="109"/>
      <c r="H191" s="86">
        <v>41639</v>
      </c>
    </row>
    <row r="192" spans="1:8" s="81" customFormat="1" ht="19.5" customHeight="1">
      <c r="B192" s="88">
        <f t="shared" si="10"/>
        <v>1.7065393518518546</v>
      </c>
      <c r="C192" s="106" t="s">
        <v>300</v>
      </c>
      <c r="D192" s="107" t="s">
        <v>301</v>
      </c>
      <c r="E192" s="106"/>
      <c r="F192" s="52">
        <v>2.0023148148148148E-3</v>
      </c>
      <c r="G192" s="106"/>
      <c r="H192" s="106"/>
    </row>
    <row r="193" spans="1:9" s="80" customFormat="1" ht="19.5" customHeight="1">
      <c r="A193" s="79"/>
      <c r="B193" s="88">
        <f t="shared" si="10"/>
        <v>1.7085416666666693</v>
      </c>
      <c r="C193" s="99" t="s">
        <v>9</v>
      </c>
      <c r="D193" s="100" t="s">
        <v>128</v>
      </c>
      <c r="E193" s="99" t="s">
        <v>107</v>
      </c>
      <c r="F193" s="101">
        <v>1.7361111111111112E-4</v>
      </c>
      <c r="G193" s="90"/>
      <c r="H193" s="89"/>
    </row>
    <row r="194" spans="1:9" s="81" customFormat="1" ht="19.5" customHeight="1">
      <c r="B194" s="88">
        <f t="shared" si="10"/>
        <v>1.7087152777777803</v>
      </c>
      <c r="C194" s="160" t="s">
        <v>10</v>
      </c>
      <c r="D194" s="108" t="s">
        <v>238</v>
      </c>
      <c r="E194" s="161">
        <v>0</v>
      </c>
      <c r="F194" s="161">
        <f>G194-E194</f>
        <v>1.03125E-2</v>
      </c>
      <c r="G194" s="161">
        <v>1.03125E-2</v>
      </c>
      <c r="H194" s="71">
        <v>41684</v>
      </c>
    </row>
    <row r="195" spans="1:9" s="81" customFormat="1" ht="19.5" customHeight="1">
      <c r="B195" s="88">
        <f t="shared" si="10"/>
        <v>1.7190277777777803</v>
      </c>
      <c r="C195" s="163" t="s">
        <v>194</v>
      </c>
      <c r="D195" s="164" t="s">
        <v>270</v>
      </c>
      <c r="E195" s="165"/>
      <c r="F195" s="165">
        <v>4.6296296296296293E-4</v>
      </c>
      <c r="G195" s="166"/>
      <c r="H195" s="167"/>
    </row>
    <row r="196" spans="1:9" s="80" customFormat="1" ht="19.5" customHeight="1">
      <c r="A196" s="80">
        <f>SUM(A193+1)</f>
        <v>1</v>
      </c>
      <c r="B196" s="88">
        <f t="shared" si="10"/>
        <v>1.7194907407407432</v>
      </c>
      <c r="C196" s="92" t="s">
        <v>206</v>
      </c>
      <c r="D196" s="93" t="s">
        <v>207</v>
      </c>
      <c r="E196" s="87"/>
      <c r="F196" s="94">
        <v>4.6296296296296293E-4</v>
      </c>
      <c r="G196" s="92" t="s">
        <v>202</v>
      </c>
      <c r="H196" s="172" t="s">
        <v>208</v>
      </c>
    </row>
    <row r="197" spans="1:9" s="81" customFormat="1" ht="19.5" customHeight="1">
      <c r="B197" s="88">
        <f t="shared" ref="B197:B260" si="12">B196+F196</f>
        <v>1.719953703703706</v>
      </c>
      <c r="C197" s="160" t="s">
        <v>10</v>
      </c>
      <c r="D197" s="108" t="s">
        <v>239</v>
      </c>
      <c r="E197" s="161">
        <v>0</v>
      </c>
      <c r="F197" s="161">
        <f>G197-E197</f>
        <v>6.6319444444444446E-3</v>
      </c>
      <c r="G197" s="161">
        <v>6.6319444444444446E-3</v>
      </c>
      <c r="H197" s="71">
        <v>41684</v>
      </c>
    </row>
    <row r="198" spans="1:9" s="53" customFormat="1" ht="22.5" customHeight="1">
      <c r="B198" s="88">
        <f t="shared" si="12"/>
        <v>1.7265856481481505</v>
      </c>
      <c r="C198" s="56" t="s">
        <v>139</v>
      </c>
      <c r="D198" s="128" t="s">
        <v>161</v>
      </c>
      <c r="E198" s="56"/>
      <c r="F198" s="127">
        <v>4.0509259259259258E-4</v>
      </c>
      <c r="G198" s="132"/>
      <c r="H198" s="132"/>
    </row>
    <row r="199" spans="1:9" s="57" customFormat="1" ht="22.5" customHeight="1">
      <c r="B199" s="88">
        <f t="shared" si="12"/>
        <v>1.7269907407407432</v>
      </c>
      <c r="C199" s="56" t="s">
        <v>162</v>
      </c>
      <c r="D199" s="128" t="s">
        <v>163</v>
      </c>
      <c r="E199" s="133"/>
      <c r="F199" s="127">
        <v>4.3981481481481481E-4</v>
      </c>
      <c r="G199" s="134"/>
      <c r="H199" s="134"/>
      <c r="I199" s="135"/>
    </row>
    <row r="200" spans="1:9" s="78" customFormat="1" ht="19.5" customHeight="1">
      <c r="B200" s="88">
        <f t="shared" si="12"/>
        <v>1.727430555555558</v>
      </c>
      <c r="C200" s="106" t="s">
        <v>245</v>
      </c>
      <c r="D200" s="105" t="s">
        <v>246</v>
      </c>
      <c r="E200" s="103"/>
      <c r="F200" s="103">
        <v>1.0879629629629629E-3</v>
      </c>
      <c r="G200" s="103"/>
      <c r="H200" s="104"/>
    </row>
    <row r="201" spans="1:9" s="81" customFormat="1" ht="18.75" customHeight="1">
      <c r="B201" s="88">
        <f t="shared" si="12"/>
        <v>1.728518518518521</v>
      </c>
      <c r="C201" s="104" t="s">
        <v>271</v>
      </c>
      <c r="D201" s="105" t="s">
        <v>272</v>
      </c>
      <c r="E201" s="106"/>
      <c r="F201" s="52">
        <v>5.7870370370370366E-5</v>
      </c>
      <c r="G201" s="106"/>
      <c r="H201" s="106" t="s">
        <v>137</v>
      </c>
    </row>
    <row r="202" spans="1:9" s="78" customFormat="1" ht="18.75" customHeight="1">
      <c r="B202" s="88">
        <f t="shared" si="12"/>
        <v>1.7285763888888914</v>
      </c>
      <c r="C202" s="106" t="s">
        <v>273</v>
      </c>
      <c r="D202" s="107" t="s">
        <v>274</v>
      </c>
      <c r="E202" s="109"/>
      <c r="F202" s="103">
        <v>3.2407407407407406E-4</v>
      </c>
      <c r="G202" s="109"/>
      <c r="H202" s="107"/>
    </row>
    <row r="203" spans="1:9" s="58" customFormat="1" ht="22.5" customHeight="1">
      <c r="B203" s="88">
        <f t="shared" si="12"/>
        <v>1.7289004629629654</v>
      </c>
      <c r="C203" s="156" t="s">
        <v>200</v>
      </c>
      <c r="D203" s="67" t="s">
        <v>201</v>
      </c>
      <c r="E203" s="67"/>
      <c r="F203" s="127">
        <v>4.0509259259259258E-4</v>
      </c>
      <c r="G203" s="56"/>
      <c r="H203" s="159"/>
      <c r="I203" s="59"/>
    </row>
    <row r="204" spans="1:9" s="80" customFormat="1" ht="19.5" customHeight="1">
      <c r="A204" s="79"/>
      <c r="B204" s="88">
        <f t="shared" si="12"/>
        <v>1.7293055555555581</v>
      </c>
      <c r="C204" s="99" t="s">
        <v>9</v>
      </c>
      <c r="D204" s="100" t="s">
        <v>128</v>
      </c>
      <c r="E204" s="99" t="s">
        <v>107</v>
      </c>
      <c r="F204" s="101">
        <v>1.7361111111111112E-4</v>
      </c>
      <c r="G204" s="90"/>
      <c r="H204" s="89"/>
    </row>
    <row r="205" spans="1:9" s="81" customFormat="1" ht="19.5" customHeight="1">
      <c r="B205" s="88">
        <f t="shared" si="12"/>
        <v>1.7294791666666691</v>
      </c>
      <c r="C205" s="124" t="s">
        <v>10</v>
      </c>
      <c r="D205" s="125" t="s">
        <v>275</v>
      </c>
      <c r="E205" s="126">
        <v>0</v>
      </c>
      <c r="F205" s="126">
        <f>G205-E205</f>
        <v>1.7361111111111112E-2</v>
      </c>
      <c r="G205" s="126">
        <v>1.7361111111111112E-2</v>
      </c>
      <c r="H205" s="71">
        <v>41689</v>
      </c>
    </row>
    <row r="206" spans="1:9" s="81" customFormat="1" ht="19.5" customHeight="1">
      <c r="B206" s="88">
        <f t="shared" si="12"/>
        <v>1.7468402777777803</v>
      </c>
      <c r="C206" s="163" t="s">
        <v>194</v>
      </c>
      <c r="D206" s="164" t="s">
        <v>277</v>
      </c>
      <c r="E206" s="165"/>
      <c r="F206" s="165">
        <v>1.0648148148148147E-3</v>
      </c>
      <c r="G206" s="166"/>
      <c r="H206" s="167"/>
    </row>
    <row r="207" spans="1:9" s="53" customFormat="1" ht="22.5" customHeight="1">
      <c r="B207" s="88">
        <f t="shared" si="12"/>
        <v>1.7479050925925952</v>
      </c>
      <c r="C207" s="56" t="s">
        <v>181</v>
      </c>
      <c r="D207" s="158" t="s">
        <v>182</v>
      </c>
      <c r="E207" s="158"/>
      <c r="F207" s="157">
        <v>3.3564814814814812E-4</v>
      </c>
      <c r="G207" s="158"/>
      <c r="H207" s="67"/>
    </row>
    <row r="208" spans="1:9" s="81" customFormat="1" ht="19.5" customHeight="1">
      <c r="B208" s="88">
        <f t="shared" si="12"/>
        <v>1.7482407407407434</v>
      </c>
      <c r="C208" s="124" t="s">
        <v>10</v>
      </c>
      <c r="D208" s="125" t="s">
        <v>276</v>
      </c>
      <c r="E208" s="126">
        <v>0</v>
      </c>
      <c r="F208" s="126">
        <f>G208-E208</f>
        <v>0</v>
      </c>
      <c r="G208" s="126">
        <v>0</v>
      </c>
      <c r="H208" s="71">
        <v>41689</v>
      </c>
    </row>
    <row r="209" spans="1:8" s="81" customFormat="1" ht="19.5" customHeight="1">
      <c r="B209" s="88">
        <f t="shared" si="12"/>
        <v>1.7482407407407434</v>
      </c>
      <c r="C209" s="104" t="s">
        <v>281</v>
      </c>
      <c r="D209" s="105" t="s">
        <v>282</v>
      </c>
      <c r="E209" s="104"/>
      <c r="F209" s="103">
        <v>8.1018518518518516E-5</v>
      </c>
      <c r="G209" s="104"/>
      <c r="H209" s="104" t="s">
        <v>137</v>
      </c>
    </row>
    <row r="210" spans="1:8" s="53" customFormat="1" ht="22.5" customHeight="1">
      <c r="B210" s="88">
        <f t="shared" si="12"/>
        <v>1.7483217592592619</v>
      </c>
      <c r="C210" s="56" t="s">
        <v>278</v>
      </c>
      <c r="D210" s="128" t="s">
        <v>279</v>
      </c>
      <c r="E210" s="128"/>
      <c r="F210" s="157">
        <v>6.134259259259259E-4</v>
      </c>
      <c r="G210" s="158"/>
      <c r="H210" s="67"/>
    </row>
    <row r="211" spans="1:8" s="81" customFormat="1" ht="19.5" customHeight="1">
      <c r="B211" s="88">
        <f t="shared" si="12"/>
        <v>1.7489351851851878</v>
      </c>
      <c r="C211" s="163" t="s">
        <v>194</v>
      </c>
      <c r="D211" s="164" t="s">
        <v>280</v>
      </c>
      <c r="E211" s="165"/>
      <c r="F211" s="165">
        <v>1.3773148148148147E-3</v>
      </c>
      <c r="G211" s="166"/>
      <c r="H211" s="167"/>
    </row>
    <row r="212" spans="1:8" s="81" customFormat="1" ht="19.5" customHeight="1">
      <c r="B212" s="88">
        <f t="shared" si="12"/>
        <v>1.7503125000000026</v>
      </c>
      <c r="C212" s="124" t="s">
        <v>10</v>
      </c>
      <c r="D212" s="125" t="s">
        <v>240</v>
      </c>
      <c r="E212" s="126">
        <v>0</v>
      </c>
      <c r="F212" s="126">
        <f>G212-E212</f>
        <v>6.9444444444444441E-3</v>
      </c>
      <c r="G212" s="126">
        <v>6.9444444444444441E-3</v>
      </c>
      <c r="H212" s="71">
        <v>41689</v>
      </c>
    </row>
    <row r="213" spans="1:8" s="80" customFormat="1" ht="19.5" customHeight="1">
      <c r="A213" s="79"/>
      <c r="B213" s="88">
        <f t="shared" si="12"/>
        <v>1.757256944444447</v>
      </c>
      <c r="C213" s="99" t="s">
        <v>9</v>
      </c>
      <c r="D213" s="100" t="s">
        <v>110</v>
      </c>
      <c r="E213" s="99" t="s">
        <v>107</v>
      </c>
      <c r="F213" s="101">
        <v>8.1018518518518516E-5</v>
      </c>
      <c r="G213" s="102"/>
      <c r="H213" s="89"/>
    </row>
    <row r="214" spans="1:8" s="81" customFormat="1" ht="17.25" customHeight="1">
      <c r="B214" s="88">
        <f t="shared" si="12"/>
        <v>1.7573379629629655</v>
      </c>
      <c r="C214" s="160" t="s">
        <v>10</v>
      </c>
      <c r="D214" s="108" t="s">
        <v>314</v>
      </c>
      <c r="E214" s="161">
        <v>0</v>
      </c>
      <c r="F214" s="161">
        <f>G214-E214</f>
        <v>1.0208333333333333E-2</v>
      </c>
      <c r="G214" s="161">
        <v>1.0208333333333333E-2</v>
      </c>
      <c r="H214" s="71" t="s">
        <v>150</v>
      </c>
    </row>
    <row r="215" spans="1:8" s="81" customFormat="1" ht="19.5" customHeight="1">
      <c r="B215" s="88">
        <f t="shared" si="12"/>
        <v>1.7675462962962989</v>
      </c>
      <c r="C215" s="163" t="s">
        <v>194</v>
      </c>
      <c r="D215" s="164" t="s">
        <v>319</v>
      </c>
      <c r="E215" s="165"/>
      <c r="F215" s="165">
        <v>2.5000000000000001E-3</v>
      </c>
      <c r="G215" s="166"/>
      <c r="H215" s="167"/>
    </row>
    <row r="216" spans="1:8" s="81" customFormat="1" ht="17.25" customHeight="1">
      <c r="B216" s="88">
        <f t="shared" si="12"/>
        <v>1.7700462962962988</v>
      </c>
      <c r="C216" s="160" t="s">
        <v>10</v>
      </c>
      <c r="D216" s="108" t="s">
        <v>283</v>
      </c>
      <c r="E216" s="161">
        <v>0</v>
      </c>
      <c r="F216" s="161">
        <f>G216-E216</f>
        <v>9.8263888888888897E-3</v>
      </c>
      <c r="G216" s="161">
        <v>9.8263888888888897E-3</v>
      </c>
      <c r="H216" s="71" t="s">
        <v>150</v>
      </c>
    </row>
    <row r="217" spans="1:8" s="80" customFormat="1" ht="19.5" customHeight="1">
      <c r="A217" s="79"/>
      <c r="B217" s="88">
        <f t="shared" si="12"/>
        <v>1.7798726851851878</v>
      </c>
      <c r="C217" s="99" t="s">
        <v>9</v>
      </c>
      <c r="D217" s="100" t="s">
        <v>110</v>
      </c>
      <c r="E217" s="99" t="s">
        <v>107</v>
      </c>
      <c r="F217" s="101">
        <v>8.1018518518518516E-5</v>
      </c>
      <c r="G217" s="102"/>
      <c r="H217" s="89"/>
    </row>
    <row r="218" spans="1:8" s="81" customFormat="1" ht="17.25" customHeight="1">
      <c r="B218" s="88">
        <f t="shared" si="12"/>
        <v>1.7799537037037063</v>
      </c>
      <c r="C218" s="160" t="s">
        <v>10</v>
      </c>
      <c r="D218" s="108" t="s">
        <v>313</v>
      </c>
      <c r="E218" s="161">
        <v>0</v>
      </c>
      <c r="F218" s="161">
        <f>G218-E218</f>
        <v>1.1817129629629629E-2</v>
      </c>
      <c r="G218" s="161">
        <v>1.1817129629629629E-2</v>
      </c>
      <c r="H218" s="71" t="s">
        <v>103</v>
      </c>
    </row>
    <row r="219" spans="1:8" s="80" customFormat="1" ht="18.75" customHeight="1">
      <c r="A219" s="79"/>
      <c r="B219" s="88">
        <f t="shared" si="12"/>
        <v>1.791770833333336</v>
      </c>
      <c r="C219" s="99" t="s">
        <v>9</v>
      </c>
      <c r="D219" s="100" t="s">
        <v>110</v>
      </c>
      <c r="E219" s="99" t="s">
        <v>107</v>
      </c>
      <c r="F219" s="101">
        <v>8.1018518518518516E-5</v>
      </c>
      <c r="G219" s="90"/>
      <c r="H219" s="89"/>
    </row>
    <row r="220" spans="1:8" s="81" customFormat="1" ht="19.5" customHeight="1">
      <c r="B220" s="88">
        <f t="shared" si="12"/>
        <v>1.7918518518518545</v>
      </c>
      <c r="C220" s="176" t="s">
        <v>241</v>
      </c>
      <c r="D220" s="177" t="s">
        <v>242</v>
      </c>
      <c r="E220" s="176"/>
      <c r="F220" s="178">
        <v>5.7870370370370366E-5</v>
      </c>
      <c r="G220" s="177"/>
      <c r="H220" s="179"/>
    </row>
    <row r="221" spans="1:8" s="81" customFormat="1" ht="19.5" customHeight="1">
      <c r="B221" s="88">
        <f t="shared" si="12"/>
        <v>1.7919097222222249</v>
      </c>
      <c r="C221" s="73" t="s">
        <v>10</v>
      </c>
      <c r="D221" s="74" t="s">
        <v>243</v>
      </c>
      <c r="E221" s="75">
        <v>0</v>
      </c>
      <c r="F221" s="75">
        <f>G221-E221</f>
        <v>3.5069444444444445E-2</v>
      </c>
      <c r="G221" s="75">
        <v>3.5069444444444445E-2</v>
      </c>
      <c r="H221" s="71" t="s">
        <v>117</v>
      </c>
    </row>
    <row r="222" spans="1:8" s="81" customFormat="1" ht="19.5" customHeight="1">
      <c r="B222" s="88">
        <f t="shared" si="12"/>
        <v>1.8269791666666693</v>
      </c>
      <c r="C222" s="163" t="s">
        <v>194</v>
      </c>
      <c r="D222" s="164" t="s">
        <v>252</v>
      </c>
      <c r="E222" s="165"/>
      <c r="F222" s="165">
        <v>8.1018518518518516E-4</v>
      </c>
      <c r="G222" s="166"/>
      <c r="H222" s="167"/>
    </row>
    <row r="223" spans="1:8" s="81" customFormat="1" ht="19.5" customHeight="1">
      <c r="B223" s="88">
        <f t="shared" si="12"/>
        <v>1.8277893518518544</v>
      </c>
      <c r="C223" s="73" t="s">
        <v>10</v>
      </c>
      <c r="D223" s="74" t="s">
        <v>243</v>
      </c>
      <c r="E223" s="75">
        <v>0</v>
      </c>
      <c r="F223" s="75">
        <f>G223-E223</f>
        <v>0</v>
      </c>
      <c r="G223" s="75">
        <v>0</v>
      </c>
      <c r="H223" s="71" t="s">
        <v>117</v>
      </c>
    </row>
    <row r="224" spans="1:8" s="81" customFormat="1" ht="19.5" customHeight="1">
      <c r="B224" s="88">
        <f t="shared" si="12"/>
        <v>1.8277893518518544</v>
      </c>
      <c r="C224" s="163" t="s">
        <v>194</v>
      </c>
      <c r="D224" s="164" t="s">
        <v>286</v>
      </c>
      <c r="E224" s="165"/>
      <c r="F224" s="165">
        <v>4.6296296296296293E-4</v>
      </c>
      <c r="G224" s="166"/>
      <c r="H224" s="167"/>
    </row>
    <row r="225" spans="1:10" s="81" customFormat="1" ht="19.5" customHeight="1">
      <c r="B225" s="88">
        <f t="shared" si="12"/>
        <v>1.8282523148148173</v>
      </c>
      <c r="C225" s="73" t="s">
        <v>10</v>
      </c>
      <c r="D225" s="74" t="s">
        <v>243</v>
      </c>
      <c r="E225" s="75">
        <v>0</v>
      </c>
      <c r="F225" s="75">
        <f>G225-E225</f>
        <v>0</v>
      </c>
      <c r="G225" s="75">
        <v>0</v>
      </c>
      <c r="H225" s="71" t="s">
        <v>117</v>
      </c>
    </row>
    <row r="226" spans="1:10" s="81" customFormat="1" ht="19.5" customHeight="1">
      <c r="B226" s="88">
        <f t="shared" si="12"/>
        <v>1.8282523148148173</v>
      </c>
      <c r="C226" s="176" t="s">
        <v>241</v>
      </c>
      <c r="D226" s="177" t="s">
        <v>244</v>
      </c>
      <c r="E226" s="176"/>
      <c r="F226" s="178">
        <v>5.7870370370370366E-5</v>
      </c>
      <c r="G226" s="177"/>
      <c r="H226" s="179"/>
    </row>
    <row r="227" spans="1:10" s="53" customFormat="1" ht="22.5" customHeight="1">
      <c r="B227" s="88">
        <f t="shared" si="12"/>
        <v>1.8283101851851877</v>
      </c>
      <c r="C227" s="56" t="s">
        <v>142</v>
      </c>
      <c r="D227" s="128" t="s">
        <v>176</v>
      </c>
      <c r="E227" s="128"/>
      <c r="F227" s="127">
        <v>3.7037037037037035E-4</v>
      </c>
      <c r="G227" s="155"/>
      <c r="H227" s="130"/>
    </row>
    <row r="228" spans="1:10" s="53" customFormat="1" ht="22.5" customHeight="1">
      <c r="B228" s="88">
        <f t="shared" si="12"/>
        <v>1.8286805555555581</v>
      </c>
      <c r="C228" s="56" t="s">
        <v>138</v>
      </c>
      <c r="D228" s="128" t="s">
        <v>160</v>
      </c>
      <c r="E228" s="56"/>
      <c r="F228" s="127">
        <v>7.0601851851851847E-4</v>
      </c>
      <c r="G228" s="130"/>
      <c r="H228" s="131"/>
    </row>
    <row r="229" spans="1:10" s="58" customFormat="1" ht="22.5" customHeight="1">
      <c r="B229" s="88">
        <f t="shared" si="12"/>
        <v>1.8293865740740767</v>
      </c>
      <c r="C229" s="156" t="s">
        <v>200</v>
      </c>
      <c r="D229" s="67" t="s">
        <v>201</v>
      </c>
      <c r="E229" s="67"/>
      <c r="F229" s="127">
        <v>4.0509259259259258E-4</v>
      </c>
      <c r="G229" s="56"/>
      <c r="H229" s="159"/>
      <c r="I229" s="59"/>
    </row>
    <row r="230" spans="1:10" s="81" customFormat="1" ht="19.5" customHeight="1">
      <c r="B230" s="88">
        <f t="shared" si="12"/>
        <v>1.8297916666666694</v>
      </c>
      <c r="C230" s="106" t="s">
        <v>317</v>
      </c>
      <c r="D230" s="107" t="s">
        <v>318</v>
      </c>
      <c r="E230" s="109"/>
      <c r="F230" s="103">
        <v>2.8009259259259259E-3</v>
      </c>
      <c r="G230" s="106"/>
      <c r="H230" s="72"/>
    </row>
    <row r="231" spans="1:10" s="53" customFormat="1" ht="22.5" customHeight="1">
      <c r="B231" s="88">
        <f t="shared" si="12"/>
        <v>1.8325925925925952</v>
      </c>
      <c r="C231" s="56" t="s">
        <v>181</v>
      </c>
      <c r="D231" s="158" t="s">
        <v>182</v>
      </c>
      <c r="E231" s="158"/>
      <c r="F231" s="157">
        <v>3.3564814814814812E-4</v>
      </c>
      <c r="G231" s="158"/>
      <c r="H231" s="67"/>
    </row>
    <row r="232" spans="1:10" s="53" customFormat="1" ht="22.5" customHeight="1">
      <c r="B232" s="88">
        <f t="shared" si="12"/>
        <v>1.8329282407407435</v>
      </c>
      <c r="C232" s="56" t="s">
        <v>262</v>
      </c>
      <c r="D232" s="128" t="s">
        <v>263</v>
      </c>
      <c r="E232" s="128"/>
      <c r="F232" s="157">
        <v>3.4722222222222224E-4</v>
      </c>
      <c r="G232" s="188"/>
      <c r="H232" s="67"/>
    </row>
    <row r="233" spans="1:10" s="80" customFormat="1" ht="19.5" customHeight="1">
      <c r="A233" s="79"/>
      <c r="B233" s="88">
        <f t="shared" si="12"/>
        <v>1.8332754629629657</v>
      </c>
      <c r="C233" s="91" t="s">
        <v>9</v>
      </c>
      <c r="D233" s="83" t="s">
        <v>100</v>
      </c>
      <c r="E233" s="84"/>
      <c r="F233" s="85">
        <v>8.1018518518518516E-5</v>
      </c>
      <c r="G233" s="90"/>
      <c r="H233" s="82"/>
    </row>
    <row r="234" spans="1:10" s="80" customFormat="1" ht="19.5" customHeight="1">
      <c r="B234" s="88">
        <f t="shared" si="12"/>
        <v>1.8333564814814842</v>
      </c>
      <c r="C234" s="92" t="s">
        <v>284</v>
      </c>
      <c r="D234" s="93" t="s">
        <v>285</v>
      </c>
      <c r="E234" s="87"/>
      <c r="F234" s="94">
        <v>1.7361111111111112E-4</v>
      </c>
      <c r="G234" s="92" t="s">
        <v>202</v>
      </c>
      <c r="H234" s="172" t="s">
        <v>208</v>
      </c>
    </row>
    <row r="235" spans="1:10" s="80" customFormat="1" ht="19.5" customHeight="1">
      <c r="A235" s="79"/>
      <c r="B235" s="88">
        <f t="shared" si="12"/>
        <v>1.8335300925925953</v>
      </c>
      <c r="C235" s="91" t="s">
        <v>9</v>
      </c>
      <c r="D235" s="83" t="s">
        <v>101</v>
      </c>
      <c r="E235" s="84"/>
      <c r="F235" s="85">
        <v>8.1018518518518516E-5</v>
      </c>
      <c r="G235" s="90"/>
      <c r="H235" s="82"/>
    </row>
    <row r="236" spans="1:10" s="81" customFormat="1" ht="19.5" customHeight="1">
      <c r="B236" s="88">
        <f t="shared" si="12"/>
        <v>1.8336111111111137</v>
      </c>
      <c r="C236" s="160" t="s">
        <v>10</v>
      </c>
      <c r="D236" s="108" t="s">
        <v>247</v>
      </c>
      <c r="E236" s="161">
        <v>0</v>
      </c>
      <c r="F236" s="161">
        <f>G236-E236</f>
        <v>9.0856481481481483E-3</v>
      </c>
      <c r="G236" s="161">
        <v>9.0856481481481483E-3</v>
      </c>
      <c r="H236" s="71">
        <v>41685</v>
      </c>
      <c r="I236" s="80"/>
      <c r="J236" s="80"/>
    </row>
    <row r="237" spans="1:10" s="81" customFormat="1" ht="19.5" customHeight="1">
      <c r="B237" s="88">
        <f t="shared" si="12"/>
        <v>1.8426967592592618</v>
      </c>
      <c r="C237" s="163" t="s">
        <v>194</v>
      </c>
      <c r="D237" s="164" t="s">
        <v>287</v>
      </c>
      <c r="E237" s="165"/>
      <c r="F237" s="165">
        <v>1.3773148148148147E-3</v>
      </c>
      <c r="G237" s="166"/>
      <c r="H237" s="167"/>
    </row>
    <row r="238" spans="1:10" s="81" customFormat="1" ht="19.5" customHeight="1">
      <c r="B238" s="88">
        <f t="shared" si="12"/>
        <v>1.8440740740740766</v>
      </c>
      <c r="C238" s="160" t="s">
        <v>10</v>
      </c>
      <c r="D238" s="108" t="s">
        <v>248</v>
      </c>
      <c r="E238" s="161">
        <v>0</v>
      </c>
      <c r="F238" s="161">
        <f>G238-E238</f>
        <v>8.9699074074074073E-3</v>
      </c>
      <c r="G238" s="161">
        <v>8.9699074074074073E-3</v>
      </c>
      <c r="H238" s="71">
        <v>41685</v>
      </c>
      <c r="I238" s="80"/>
      <c r="J238" s="80"/>
    </row>
    <row r="239" spans="1:10" s="53" customFormat="1" ht="21.75" customHeight="1">
      <c r="B239" s="88">
        <f t="shared" si="12"/>
        <v>1.8530439814814841</v>
      </c>
      <c r="C239" s="56" t="s">
        <v>192</v>
      </c>
      <c r="D239" s="128" t="s">
        <v>193</v>
      </c>
      <c r="E239" s="162"/>
      <c r="F239" s="127">
        <v>3.5879629629629635E-4</v>
      </c>
      <c r="G239" s="158"/>
      <c r="H239" s="131"/>
    </row>
    <row r="240" spans="1:10" s="53" customFormat="1" ht="22.5" customHeight="1">
      <c r="B240" s="88">
        <f t="shared" si="12"/>
        <v>1.8534027777777804</v>
      </c>
      <c r="C240" s="56" t="s">
        <v>171</v>
      </c>
      <c r="D240" s="128" t="s">
        <v>172</v>
      </c>
      <c r="E240" s="56"/>
      <c r="F240" s="127">
        <v>4.0509259259259258E-4</v>
      </c>
      <c r="G240" s="128"/>
      <c r="H240" s="131"/>
    </row>
    <row r="241" spans="1:10" s="81" customFormat="1" ht="19.5" customHeight="1">
      <c r="B241" s="88">
        <f t="shared" si="12"/>
        <v>1.8538078703703731</v>
      </c>
      <c r="C241" s="106" t="s">
        <v>273</v>
      </c>
      <c r="D241" s="107" t="s">
        <v>274</v>
      </c>
      <c r="E241" s="109"/>
      <c r="F241" s="103">
        <v>3.2407407407407406E-4</v>
      </c>
      <c r="G241" s="109"/>
      <c r="H241" s="107"/>
    </row>
    <row r="242" spans="1:10" s="80" customFormat="1" ht="19.5" customHeight="1">
      <c r="A242" s="79"/>
      <c r="B242" s="88">
        <f t="shared" si="12"/>
        <v>1.8541319444444471</v>
      </c>
      <c r="C242" s="99" t="s">
        <v>9</v>
      </c>
      <c r="D242" s="100" t="s">
        <v>110</v>
      </c>
      <c r="E242" s="99" t="s">
        <v>107</v>
      </c>
      <c r="F242" s="101">
        <v>8.1018518518518516E-5</v>
      </c>
      <c r="G242" s="102"/>
      <c r="H242" s="89"/>
    </row>
    <row r="243" spans="1:10" s="81" customFormat="1" ht="19.5" customHeight="1">
      <c r="B243" s="88">
        <f t="shared" si="12"/>
        <v>1.8542129629629656</v>
      </c>
      <c r="C243" s="160" t="s">
        <v>10</v>
      </c>
      <c r="D243" s="108" t="s">
        <v>249</v>
      </c>
      <c r="E243" s="161">
        <v>0</v>
      </c>
      <c r="F243" s="161">
        <f>G243-E243</f>
        <v>9.7106481481481471E-3</v>
      </c>
      <c r="G243" s="161">
        <v>9.7106481481481471E-3</v>
      </c>
      <c r="H243" s="71">
        <v>41683</v>
      </c>
      <c r="I243" s="80"/>
      <c r="J243" s="80"/>
    </row>
    <row r="244" spans="1:10" s="81" customFormat="1" ht="19.5" customHeight="1">
      <c r="B244" s="88">
        <f t="shared" si="12"/>
        <v>1.8639236111111137</v>
      </c>
      <c r="C244" s="163" t="s">
        <v>194</v>
      </c>
      <c r="D244" s="164" t="s">
        <v>288</v>
      </c>
      <c r="E244" s="165"/>
      <c r="F244" s="165">
        <v>1.712962962962963E-3</v>
      </c>
      <c r="G244" s="166"/>
      <c r="H244" s="167"/>
    </row>
    <row r="245" spans="1:10" s="81" customFormat="1" ht="19.5" customHeight="1">
      <c r="B245" s="88">
        <f t="shared" si="12"/>
        <v>1.8656365740740766</v>
      </c>
      <c r="C245" s="160" t="s">
        <v>10</v>
      </c>
      <c r="D245" s="108" t="s">
        <v>250</v>
      </c>
      <c r="E245" s="161">
        <v>0</v>
      </c>
      <c r="F245" s="161">
        <f>G245-E245</f>
        <v>8.1249999999999985E-3</v>
      </c>
      <c r="G245" s="161">
        <v>8.1249999999999985E-3</v>
      </c>
      <c r="H245" s="71">
        <v>41683</v>
      </c>
      <c r="I245" s="80"/>
      <c r="J245" s="80"/>
    </row>
    <row r="246" spans="1:10" s="78" customFormat="1" ht="19.5" customHeight="1">
      <c r="B246" s="88">
        <f t="shared" si="12"/>
        <v>1.8737615740740765</v>
      </c>
      <c r="C246" s="104" t="s">
        <v>135</v>
      </c>
      <c r="D246" s="105" t="s">
        <v>136</v>
      </c>
      <c r="E246" s="106"/>
      <c r="F246" s="52">
        <v>9.2592592592592588E-5</v>
      </c>
      <c r="G246" s="106"/>
      <c r="H246" s="106" t="s">
        <v>137</v>
      </c>
    </row>
    <row r="247" spans="1:10" s="53" customFormat="1" ht="22.5" customHeight="1">
      <c r="B247" s="88">
        <f t="shared" si="12"/>
        <v>1.873854166666669</v>
      </c>
      <c r="C247" s="56" t="s">
        <v>139</v>
      </c>
      <c r="D247" s="128" t="s">
        <v>161</v>
      </c>
      <c r="E247" s="56"/>
      <c r="F247" s="127">
        <v>4.0509259259259258E-4</v>
      </c>
      <c r="G247" s="132"/>
      <c r="H247" s="132"/>
    </row>
    <row r="248" spans="1:10" s="58" customFormat="1" ht="22.5" customHeight="1">
      <c r="B248" s="88">
        <f t="shared" si="12"/>
        <v>1.8742592592592617</v>
      </c>
      <c r="C248" s="156" t="s">
        <v>200</v>
      </c>
      <c r="D248" s="67" t="s">
        <v>201</v>
      </c>
      <c r="E248" s="67"/>
      <c r="F248" s="127">
        <v>4.0509259259259258E-4</v>
      </c>
      <c r="G248" s="56"/>
      <c r="H248" s="159"/>
      <c r="I248" s="59"/>
    </row>
    <row r="249" spans="1:10" s="80" customFormat="1" ht="19.5" customHeight="1">
      <c r="A249" s="79"/>
      <c r="B249" s="88">
        <f t="shared" si="12"/>
        <v>1.8746643518518544</v>
      </c>
      <c r="C249" s="99" t="s">
        <v>9</v>
      </c>
      <c r="D249" s="100" t="s">
        <v>127</v>
      </c>
      <c r="E249" s="99" t="s">
        <v>107</v>
      </c>
      <c r="F249" s="101">
        <v>3.4722222222222224E-4</v>
      </c>
      <c r="G249" s="90"/>
      <c r="H249" s="89"/>
    </row>
    <row r="250" spans="1:10" s="81" customFormat="1" ht="18.75" customHeight="1">
      <c r="B250" s="88">
        <f t="shared" si="12"/>
        <v>1.8750115740740767</v>
      </c>
      <c r="C250" s="89"/>
      <c r="D250" s="173" t="s">
        <v>219</v>
      </c>
      <c r="E250" s="61"/>
      <c r="F250" s="174"/>
      <c r="G250" s="61"/>
      <c r="H250" s="77"/>
    </row>
    <row r="251" spans="1:10" s="81" customFormat="1" ht="19.5" customHeight="1">
      <c r="B251" s="88">
        <f t="shared" si="12"/>
        <v>1.8750115740740767</v>
      </c>
      <c r="C251" s="73" t="s">
        <v>10</v>
      </c>
      <c r="D251" s="74" t="s">
        <v>251</v>
      </c>
      <c r="E251" s="75">
        <v>0</v>
      </c>
      <c r="F251" s="75">
        <f>G251-E251</f>
        <v>4.8611111111111112E-2</v>
      </c>
      <c r="G251" s="75">
        <v>4.8611111111111112E-2</v>
      </c>
      <c r="H251" s="71" t="s">
        <v>117</v>
      </c>
    </row>
    <row r="252" spans="1:10" s="81" customFormat="1" ht="19.5" customHeight="1">
      <c r="B252" s="88">
        <f t="shared" si="12"/>
        <v>1.9236226851851879</v>
      </c>
      <c r="C252" s="163" t="s">
        <v>194</v>
      </c>
      <c r="D252" s="164" t="s">
        <v>289</v>
      </c>
      <c r="E252" s="165"/>
      <c r="F252" s="165">
        <v>1.5624999999999999E-3</v>
      </c>
      <c r="G252" s="166"/>
      <c r="H252" s="167"/>
    </row>
    <row r="253" spans="1:10" s="80" customFormat="1" ht="19.5" customHeight="1">
      <c r="B253" s="88">
        <f t="shared" si="12"/>
        <v>1.9251851851851878</v>
      </c>
      <c r="C253" s="92" t="s">
        <v>291</v>
      </c>
      <c r="D253" s="93" t="s">
        <v>292</v>
      </c>
      <c r="E253" s="87"/>
      <c r="F253" s="94">
        <v>3.4722222222222224E-4</v>
      </c>
      <c r="G253" s="92" t="s">
        <v>120</v>
      </c>
      <c r="H253" s="70" t="s">
        <v>119</v>
      </c>
    </row>
    <row r="254" spans="1:10" s="81" customFormat="1" ht="19.5" customHeight="1">
      <c r="B254" s="88">
        <f t="shared" si="12"/>
        <v>1.9255324074074101</v>
      </c>
      <c r="C254" s="73" t="s">
        <v>10</v>
      </c>
      <c r="D254" s="74" t="s">
        <v>308</v>
      </c>
      <c r="E254" s="75">
        <v>0</v>
      </c>
      <c r="F254" s="75">
        <f>G254-E254</f>
        <v>0</v>
      </c>
      <c r="G254" s="75">
        <v>0</v>
      </c>
      <c r="H254" s="71" t="s">
        <v>117</v>
      </c>
    </row>
    <row r="255" spans="1:10" s="81" customFormat="1" ht="19.5" customHeight="1">
      <c r="B255" s="88">
        <f t="shared" si="12"/>
        <v>1.9255324074074101</v>
      </c>
      <c r="C255" s="163" t="s">
        <v>194</v>
      </c>
      <c r="D255" s="164" t="s">
        <v>290</v>
      </c>
      <c r="E255" s="165"/>
      <c r="F255" s="165">
        <v>1.5393518518518519E-3</v>
      </c>
      <c r="G255" s="166"/>
      <c r="H255" s="167"/>
    </row>
    <row r="256" spans="1:10" s="181" customFormat="1" ht="19.5" customHeight="1">
      <c r="A256" s="180"/>
      <c r="B256" s="88">
        <f t="shared" si="12"/>
        <v>1.9270717592592619</v>
      </c>
      <c r="C256" s="124" t="s">
        <v>10</v>
      </c>
      <c r="D256" s="125" t="s">
        <v>255</v>
      </c>
      <c r="E256" s="126">
        <v>0</v>
      </c>
      <c r="F256" s="126">
        <f>G256-E256</f>
        <v>6.9444444444444441E-3</v>
      </c>
      <c r="G256" s="126">
        <v>6.9444444444444441E-3</v>
      </c>
      <c r="H256" s="71" t="s">
        <v>257</v>
      </c>
      <c r="I256" s="80"/>
      <c r="J256" s="80"/>
    </row>
    <row r="257" spans="1:10" s="53" customFormat="1" ht="22.5" customHeight="1">
      <c r="B257" s="88">
        <f t="shared" si="12"/>
        <v>1.9340162037037063</v>
      </c>
      <c r="C257" s="56" t="s">
        <v>142</v>
      </c>
      <c r="D257" s="128" t="s">
        <v>176</v>
      </c>
      <c r="E257" s="128"/>
      <c r="F257" s="127">
        <v>3.7037037037037035E-4</v>
      </c>
      <c r="G257" s="155"/>
      <c r="H257" s="130"/>
    </row>
    <row r="258" spans="1:10" s="53" customFormat="1" ht="22.5" customHeight="1">
      <c r="B258" s="88">
        <f t="shared" si="12"/>
        <v>1.9343865740740767</v>
      </c>
      <c r="C258" s="56" t="s">
        <v>138</v>
      </c>
      <c r="D258" s="128" t="s">
        <v>160</v>
      </c>
      <c r="E258" s="56"/>
      <c r="F258" s="127">
        <v>7.0601851851851847E-4</v>
      </c>
      <c r="G258" s="130"/>
      <c r="H258" s="131"/>
    </row>
    <row r="259" spans="1:10" s="78" customFormat="1" ht="19.5" customHeight="1">
      <c r="B259" s="88">
        <f t="shared" si="12"/>
        <v>1.9350925925925953</v>
      </c>
      <c r="C259" s="106" t="s">
        <v>188</v>
      </c>
      <c r="D259" s="105" t="s">
        <v>189</v>
      </c>
      <c r="E259" s="103"/>
      <c r="F259" s="103">
        <v>1.0069444444444444E-3</v>
      </c>
      <c r="G259" s="103"/>
      <c r="H259" s="104"/>
    </row>
    <row r="260" spans="1:10" s="53" customFormat="1" ht="22.5" customHeight="1">
      <c r="B260" s="88">
        <f t="shared" si="12"/>
        <v>1.9360995370370397</v>
      </c>
      <c r="C260" s="56" t="s">
        <v>181</v>
      </c>
      <c r="D260" s="158" t="s">
        <v>182</v>
      </c>
      <c r="E260" s="158"/>
      <c r="F260" s="157">
        <v>3.3564814814814812E-4</v>
      </c>
      <c r="G260" s="158"/>
      <c r="H260" s="67"/>
    </row>
    <row r="261" spans="1:10" s="53" customFormat="1" ht="22.5" customHeight="1">
      <c r="B261" s="88">
        <f t="shared" ref="B261:B324" si="13">B260+F260</f>
        <v>1.936435185185188</v>
      </c>
      <c r="C261" s="56" t="s">
        <v>262</v>
      </c>
      <c r="D261" s="128" t="s">
        <v>263</v>
      </c>
      <c r="E261" s="128"/>
      <c r="F261" s="157">
        <v>3.4722222222222224E-4</v>
      </c>
      <c r="G261" s="188"/>
      <c r="H261" s="67"/>
    </row>
    <row r="262" spans="1:10" s="80" customFormat="1" ht="19.5" customHeight="1">
      <c r="A262" s="79"/>
      <c r="B262" s="88">
        <f t="shared" si="13"/>
        <v>1.9367824074074103</v>
      </c>
      <c r="C262" s="91" t="s">
        <v>9</v>
      </c>
      <c r="D262" s="83" t="s">
        <v>100</v>
      </c>
      <c r="E262" s="84"/>
      <c r="F262" s="85">
        <v>8.1018518518518516E-5</v>
      </c>
      <c r="G262" s="90"/>
      <c r="H262" s="82"/>
    </row>
    <row r="263" spans="1:10" s="80" customFormat="1" ht="19.5" customHeight="1">
      <c r="B263" s="88">
        <f t="shared" si="13"/>
        <v>1.9368634259259288</v>
      </c>
      <c r="C263" s="92" t="s">
        <v>311</v>
      </c>
      <c r="D263" s="93" t="s">
        <v>312</v>
      </c>
      <c r="E263" s="87"/>
      <c r="F263" s="94">
        <v>4.1666666666666669E-4</v>
      </c>
      <c r="G263" s="92" t="s">
        <v>120</v>
      </c>
      <c r="H263" s="70" t="s">
        <v>119</v>
      </c>
    </row>
    <row r="264" spans="1:10" s="80" customFormat="1" ht="19.5" customHeight="1">
      <c r="A264" s="79"/>
      <c r="B264" s="88">
        <f t="shared" si="13"/>
        <v>1.9372800925925955</v>
      </c>
      <c r="C264" s="91" t="s">
        <v>9</v>
      </c>
      <c r="D264" s="83" t="s">
        <v>101</v>
      </c>
      <c r="E264" s="84"/>
      <c r="F264" s="85">
        <v>8.1018518518518516E-5</v>
      </c>
      <c r="G264" s="90"/>
      <c r="H264" s="82"/>
    </row>
    <row r="265" spans="1:10" s="80" customFormat="1" ht="19.5" customHeight="1">
      <c r="A265" s="65"/>
      <c r="B265" s="88">
        <f t="shared" si="13"/>
        <v>1.937361111111114</v>
      </c>
      <c r="C265" s="120"/>
      <c r="D265" s="117" t="s">
        <v>112</v>
      </c>
      <c r="E265" s="121"/>
      <c r="F265" s="122"/>
      <c r="G265" s="121"/>
      <c r="H265" s="123"/>
      <c r="I265" s="81"/>
    </row>
    <row r="266" spans="1:10" s="80" customFormat="1" ht="19.5" customHeight="1">
      <c r="A266" s="79" t="e">
        <v>#REF!</v>
      </c>
      <c r="B266" s="88">
        <f t="shared" si="13"/>
        <v>1.937361111111114</v>
      </c>
      <c r="C266" s="182" t="s">
        <v>9</v>
      </c>
      <c r="D266" s="183" t="s">
        <v>256</v>
      </c>
      <c r="E266" s="182" t="s">
        <v>107</v>
      </c>
      <c r="F266" s="184">
        <v>2.3148148148148146E-4</v>
      </c>
      <c r="G266" s="185"/>
      <c r="H266" s="186"/>
    </row>
    <row r="267" spans="1:10" s="81" customFormat="1" ht="18.75" customHeight="1">
      <c r="B267" s="88">
        <f t="shared" si="13"/>
        <v>1.9375925925925954</v>
      </c>
      <c r="C267" s="89"/>
      <c r="D267" s="173" t="s">
        <v>293</v>
      </c>
      <c r="E267" s="61"/>
      <c r="F267" s="174"/>
      <c r="G267" s="61"/>
      <c r="H267" s="77"/>
    </row>
    <row r="268" spans="1:10" s="81" customFormat="1" ht="19.5" customHeight="1">
      <c r="B268" s="88">
        <f t="shared" si="13"/>
        <v>1.9375925925925954</v>
      </c>
      <c r="C268" s="124" t="s">
        <v>10</v>
      </c>
      <c r="D268" s="125" t="s">
        <v>295</v>
      </c>
      <c r="E268" s="126">
        <v>0</v>
      </c>
      <c r="F268" s="126">
        <f>G268-E268</f>
        <v>3.8194444444444441E-2</v>
      </c>
      <c r="G268" s="126">
        <v>3.8194444444444441E-2</v>
      </c>
      <c r="H268" s="71">
        <v>41689</v>
      </c>
    </row>
    <row r="269" spans="1:10" s="81" customFormat="1" ht="19.5" customHeight="1">
      <c r="B269" s="88">
        <f t="shared" si="13"/>
        <v>1.9757870370370398</v>
      </c>
      <c r="C269" s="163" t="s">
        <v>194</v>
      </c>
      <c r="D269" s="164" t="s">
        <v>294</v>
      </c>
      <c r="E269" s="165"/>
      <c r="F269" s="165">
        <v>1.4120370370370369E-3</v>
      </c>
      <c r="G269" s="166"/>
      <c r="H269" s="167"/>
    </row>
    <row r="270" spans="1:10" s="81" customFormat="1" ht="19.5" customHeight="1">
      <c r="B270" s="88">
        <f t="shared" si="13"/>
        <v>1.9771990740740768</v>
      </c>
      <c r="C270" s="124" t="s">
        <v>10</v>
      </c>
      <c r="D270" s="125" t="s">
        <v>296</v>
      </c>
      <c r="E270" s="126">
        <v>0</v>
      </c>
      <c r="F270" s="126">
        <f>G270-E270</f>
        <v>0</v>
      </c>
      <c r="G270" s="126">
        <v>0</v>
      </c>
      <c r="H270" s="71">
        <v>41689</v>
      </c>
    </row>
    <row r="271" spans="1:10" s="53" customFormat="1" ht="22.5" customHeight="1">
      <c r="B271" s="88">
        <f t="shared" si="13"/>
        <v>1.9771990740740768</v>
      </c>
      <c r="C271" s="136" t="s">
        <v>113</v>
      </c>
      <c r="D271" s="137" t="s">
        <v>164</v>
      </c>
      <c r="E271" s="67"/>
      <c r="F271" s="138">
        <v>1.9675925925925926E-4</v>
      </c>
      <c r="G271" s="139"/>
      <c r="H271" s="140"/>
      <c r="I271" s="67"/>
      <c r="J271" s="50"/>
    </row>
    <row r="272" spans="1:10" s="58" customFormat="1" ht="22.5" customHeight="1">
      <c r="B272" s="88">
        <f t="shared" si="13"/>
        <v>1.9773958333333361</v>
      </c>
      <c r="C272" s="156" t="s">
        <v>200</v>
      </c>
      <c r="D272" s="67" t="s">
        <v>201</v>
      </c>
      <c r="E272" s="67"/>
      <c r="F272" s="127">
        <v>4.0509259259259258E-4</v>
      </c>
      <c r="G272" s="56"/>
      <c r="H272" s="159"/>
      <c r="I272" s="59"/>
    </row>
    <row r="273" spans="1:26" s="53" customFormat="1" ht="22.5" customHeight="1">
      <c r="B273" s="88">
        <f t="shared" si="13"/>
        <v>1.9778009259259288</v>
      </c>
      <c r="C273" s="56" t="s">
        <v>262</v>
      </c>
      <c r="D273" s="128" t="s">
        <v>263</v>
      </c>
      <c r="E273" s="128"/>
      <c r="F273" s="157">
        <v>3.4722222222222224E-4</v>
      </c>
      <c r="G273" s="188"/>
      <c r="H273" s="67"/>
    </row>
    <row r="274" spans="1:26" s="53" customFormat="1" ht="22.5" customHeight="1">
      <c r="B274" s="88">
        <f t="shared" si="13"/>
        <v>1.9781481481481511</v>
      </c>
      <c r="C274" s="56" t="s">
        <v>278</v>
      </c>
      <c r="D274" s="128" t="s">
        <v>279</v>
      </c>
      <c r="E274" s="128"/>
      <c r="F274" s="157">
        <v>6.134259259259259E-4</v>
      </c>
      <c r="G274" s="158"/>
      <c r="H274" s="67"/>
    </row>
    <row r="275" spans="1:26" s="80" customFormat="1" ht="19.5" customHeight="1">
      <c r="A275" s="79"/>
      <c r="B275" s="88">
        <f t="shared" si="13"/>
        <v>1.9787615740740769</v>
      </c>
      <c r="C275" s="91" t="s">
        <v>9</v>
      </c>
      <c r="D275" s="83" t="s">
        <v>100</v>
      </c>
      <c r="E275" s="84"/>
      <c r="F275" s="85">
        <v>8.1018518518518516E-5</v>
      </c>
      <c r="G275" s="90"/>
      <c r="H275" s="82"/>
    </row>
    <row r="276" spans="1:26" s="80" customFormat="1" ht="19.5" customHeight="1">
      <c r="B276" s="88">
        <f t="shared" si="13"/>
        <v>1.9788425925925954</v>
      </c>
      <c r="C276" s="92" t="s">
        <v>297</v>
      </c>
      <c r="D276" s="93" t="s">
        <v>298</v>
      </c>
      <c r="E276" s="87"/>
      <c r="F276" s="94">
        <v>3.8194444444444446E-4</v>
      </c>
      <c r="G276" s="92" t="s">
        <v>120</v>
      </c>
      <c r="H276" s="70" t="s">
        <v>119</v>
      </c>
    </row>
    <row r="277" spans="1:26" s="80" customFormat="1" ht="19.5" customHeight="1">
      <c r="A277" s="79"/>
      <c r="B277" s="88">
        <f t="shared" si="13"/>
        <v>1.9792245370370398</v>
      </c>
      <c r="C277" s="91" t="s">
        <v>9</v>
      </c>
      <c r="D277" s="83" t="s">
        <v>101</v>
      </c>
      <c r="E277" s="84"/>
      <c r="F277" s="85">
        <v>8.1018518518518516E-5</v>
      </c>
      <c r="G277" s="90"/>
      <c r="H277" s="82"/>
    </row>
    <row r="278" spans="1:26" s="80" customFormat="1" ht="19.5" customHeight="1">
      <c r="B278" s="88">
        <f t="shared" si="13"/>
        <v>1.9793055555555583</v>
      </c>
      <c r="C278" s="92" t="s">
        <v>9</v>
      </c>
      <c r="D278" s="93" t="s">
        <v>258</v>
      </c>
      <c r="E278" s="92" t="s">
        <v>107</v>
      </c>
      <c r="F278" s="94">
        <v>8.1018518518518516E-5</v>
      </c>
      <c r="G278" s="95"/>
      <c r="H278" s="96"/>
    </row>
    <row r="279" spans="1:26" s="80" customFormat="1" ht="19.5" customHeight="1">
      <c r="B279" s="88">
        <f t="shared" si="13"/>
        <v>1.9793865740740768</v>
      </c>
      <c r="C279" s="81"/>
      <c r="D279" s="110" t="s">
        <v>108</v>
      </c>
      <c r="E279" s="81"/>
      <c r="F279" s="81"/>
      <c r="G279" s="81"/>
      <c r="H279" s="97"/>
    </row>
    <row r="280" spans="1:26" s="80" customFormat="1" ht="19.5" customHeight="1">
      <c r="B280" s="88">
        <f t="shared" si="13"/>
        <v>1.9793865740740768</v>
      </c>
      <c r="C280" s="124" t="s">
        <v>109</v>
      </c>
      <c r="D280" s="125" t="s">
        <v>259</v>
      </c>
      <c r="E280" s="126">
        <v>0</v>
      </c>
      <c r="F280" s="126">
        <f>G280-E280</f>
        <v>3.4722222222222224E-2</v>
      </c>
      <c r="G280" s="126">
        <v>3.4722222222222224E-2</v>
      </c>
      <c r="H280" s="187" t="s">
        <v>299</v>
      </c>
    </row>
    <row r="281" spans="1:26" s="80" customFormat="1" ht="19.5" customHeight="1">
      <c r="B281" s="88">
        <f t="shared" si="13"/>
        <v>2.0141087962962989</v>
      </c>
      <c r="C281" s="81"/>
      <c r="D281" s="98"/>
      <c r="E281" s="81"/>
      <c r="F281" s="81"/>
      <c r="G281" s="81"/>
      <c r="H281" s="97"/>
    </row>
    <row r="282" spans="1:26" s="58" customFormat="1" ht="22.5" customHeight="1">
      <c r="B282" s="88">
        <f t="shared" si="13"/>
        <v>2.0141087962962989</v>
      </c>
      <c r="C282" s="156" t="s">
        <v>200</v>
      </c>
      <c r="D282" s="67" t="s">
        <v>201</v>
      </c>
      <c r="E282" s="67"/>
      <c r="F282" s="127">
        <v>4.0509259259259258E-4</v>
      </c>
      <c r="G282" s="56"/>
      <c r="H282" s="159"/>
      <c r="I282" s="59"/>
    </row>
    <row r="283" spans="1:26" s="80" customFormat="1" ht="19.5" customHeight="1">
      <c r="B283" s="88">
        <f t="shared" si="13"/>
        <v>2.0145138888888914</v>
      </c>
      <c r="C283" s="92" t="s">
        <v>9</v>
      </c>
      <c r="D283" s="93" t="s">
        <v>258</v>
      </c>
      <c r="E283" s="92" t="s">
        <v>107</v>
      </c>
      <c r="F283" s="94">
        <v>8.1018518518518516E-5</v>
      </c>
      <c r="G283" s="95"/>
      <c r="H283" s="96"/>
    </row>
    <row r="284" spans="1:26" s="80" customFormat="1" ht="19.5" customHeight="1">
      <c r="B284" s="88">
        <f t="shared" si="13"/>
        <v>2.0145949074074099</v>
      </c>
      <c r="C284" s="124" t="s">
        <v>109</v>
      </c>
      <c r="D284" s="125" t="s">
        <v>260</v>
      </c>
      <c r="E284" s="126">
        <v>0</v>
      </c>
      <c r="F284" s="126">
        <f>G284-E284</f>
        <v>3.4722222222222224E-2</v>
      </c>
      <c r="G284" s="126">
        <v>3.4722222222222224E-2</v>
      </c>
      <c r="H284" s="187" t="s">
        <v>299</v>
      </c>
    </row>
    <row r="285" spans="1:26" s="80" customFormat="1" ht="19.5" customHeight="1">
      <c r="B285" s="88">
        <f t="shared" si="13"/>
        <v>2.0493171296296322</v>
      </c>
      <c r="C285" s="81"/>
      <c r="D285" s="98"/>
      <c r="E285" s="81"/>
      <c r="F285" s="81"/>
      <c r="G285" s="81"/>
      <c r="H285" s="97"/>
    </row>
    <row r="286" spans="1:26" s="63" customFormat="1" ht="19.5" customHeight="1">
      <c r="B286" s="88">
        <f t="shared" si="13"/>
        <v>2.0493171296296322</v>
      </c>
      <c r="C286" s="66"/>
      <c r="D286" s="64"/>
      <c r="E286" s="61"/>
      <c r="F286" s="62"/>
      <c r="G286" s="61"/>
      <c r="H286" s="68"/>
    </row>
    <row r="287" spans="1:26" ht="19.5" customHeight="1">
      <c r="B287" s="88">
        <f t="shared" si="13"/>
        <v>2.0493171296296322</v>
      </c>
      <c r="C287" s="66"/>
      <c r="D287" s="64"/>
      <c r="E287" s="61"/>
      <c r="F287" s="62"/>
      <c r="G287" s="61"/>
      <c r="H287" s="68"/>
      <c r="I287" s="63"/>
      <c r="J287" s="63"/>
      <c r="K287" s="63"/>
      <c r="L287" s="63"/>
      <c r="M287" s="63"/>
      <c r="N287" s="63"/>
      <c r="O287" s="6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9.5" customHeight="1">
      <c r="B288" s="88">
        <f t="shared" si="13"/>
        <v>2.0493171296296322</v>
      </c>
      <c r="C288" s="66"/>
      <c r="D288" s="64"/>
      <c r="E288" s="61"/>
      <c r="F288" s="62"/>
      <c r="G288" s="61"/>
      <c r="H288" s="68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s="53" customFormat="1" ht="22.5" customHeight="1">
      <c r="B289" s="88">
        <f t="shared" si="13"/>
        <v>2.0493171296296322</v>
      </c>
      <c r="C289" s="66"/>
      <c r="D289" s="64"/>
      <c r="E289" s="61"/>
      <c r="F289" s="62"/>
      <c r="G289" s="61"/>
      <c r="H289" s="68"/>
      <c r="I289" s="67"/>
      <c r="J289" s="50"/>
    </row>
    <row r="290" spans="1:26" s="55" customFormat="1" ht="22.5" customHeight="1">
      <c r="B290" s="88">
        <f t="shared" si="13"/>
        <v>2.0493171296296322</v>
      </c>
      <c r="C290" s="66"/>
      <c r="D290" s="64"/>
      <c r="E290" s="61"/>
      <c r="F290" s="62"/>
      <c r="G290" s="61"/>
      <c r="H290" s="68"/>
      <c r="I290" s="54"/>
    </row>
    <row r="291" spans="1:26" ht="19.5" customHeight="1">
      <c r="B291" s="88">
        <f t="shared" si="13"/>
        <v>2.0493171296296322</v>
      </c>
      <c r="C291" s="66"/>
      <c r="D291" s="64"/>
      <c r="E291" s="61"/>
      <c r="F291" s="62"/>
      <c r="G291" s="61"/>
      <c r="H291" s="68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9.5" customHeight="1">
      <c r="B292" s="88">
        <f t="shared" si="13"/>
        <v>2.0493171296296322</v>
      </c>
      <c r="C292" s="66"/>
      <c r="D292" s="64"/>
      <c r="E292" s="61"/>
      <c r="F292" s="62"/>
      <c r="G292" s="61"/>
      <c r="H292" s="68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s="63" customFormat="1" ht="19.5" customHeight="1">
      <c r="B293" s="88">
        <f t="shared" si="13"/>
        <v>2.0493171296296322</v>
      </c>
      <c r="C293" s="66"/>
      <c r="D293" s="64"/>
      <c r="E293" s="61"/>
      <c r="F293" s="62"/>
      <c r="G293" s="61"/>
      <c r="H293" s="68"/>
    </row>
    <row r="294" spans="1:26" ht="19.5" customHeight="1">
      <c r="B294" s="88">
        <f t="shared" si="13"/>
        <v>2.0493171296296322</v>
      </c>
      <c r="C294" s="66"/>
      <c r="D294" s="64"/>
      <c r="E294" s="61"/>
      <c r="F294" s="62"/>
      <c r="G294" s="61"/>
      <c r="H294" s="68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s="63" customFormat="1" ht="19.5" customHeight="1">
      <c r="B295" s="88">
        <f t="shared" si="13"/>
        <v>2.0493171296296322</v>
      </c>
      <c r="C295" s="66"/>
      <c r="D295" s="64"/>
      <c r="E295" s="61"/>
      <c r="F295" s="62"/>
      <c r="G295" s="61"/>
      <c r="H295" s="68"/>
    </row>
    <row r="296" spans="1:26" s="38" customFormat="1" ht="19.5" customHeight="1">
      <c r="B296" s="88">
        <f t="shared" si="13"/>
        <v>2.0493171296296322</v>
      </c>
      <c r="C296" s="66"/>
      <c r="D296" s="64"/>
      <c r="E296" s="61"/>
      <c r="F296" s="62"/>
      <c r="G296" s="61"/>
      <c r="H296" s="68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s="38" customFormat="1" ht="19.5" customHeight="1">
      <c r="B297" s="88">
        <f t="shared" si="13"/>
        <v>2.0493171296296322</v>
      </c>
      <c r="C297" s="66"/>
      <c r="D297" s="64"/>
      <c r="E297" s="61"/>
      <c r="F297" s="62"/>
      <c r="G297" s="61"/>
      <c r="H297" s="68"/>
      <c r="I297" s="63"/>
      <c r="J297" s="63"/>
      <c r="K297" s="63"/>
      <c r="L297" s="63"/>
      <c r="M297" s="63"/>
      <c r="N297" s="63"/>
      <c r="O297" s="63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s="48" customFormat="1" ht="22.5" customHeight="1">
      <c r="B298" s="88">
        <f t="shared" si="13"/>
        <v>2.0493171296296322</v>
      </c>
      <c r="C298" s="66"/>
      <c r="D298" s="64"/>
      <c r="E298" s="61"/>
      <c r="F298" s="62"/>
      <c r="G298" s="61"/>
      <c r="H298" s="68"/>
      <c r="I298" s="63"/>
      <c r="J298" s="63"/>
      <c r="K298" s="63"/>
      <c r="L298" s="63"/>
      <c r="M298" s="63"/>
      <c r="N298" s="63"/>
      <c r="O298" s="6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s="45" customFormat="1" ht="19.5" customHeight="1">
      <c r="A299" s="43"/>
      <c r="B299" s="88">
        <f t="shared" si="13"/>
        <v>2.0493171296296322</v>
      </c>
      <c r="C299" s="66"/>
      <c r="D299" s="64"/>
      <c r="E299" s="61"/>
      <c r="F299" s="62"/>
      <c r="G299" s="61"/>
      <c r="H299" s="68"/>
      <c r="I299" s="63"/>
      <c r="J299" s="63"/>
      <c r="K299" s="63"/>
      <c r="L299" s="63"/>
      <c r="M299" s="63"/>
      <c r="N299" s="63"/>
      <c r="O299" s="6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s="63" customFormat="1" ht="19.5" customHeight="1">
      <c r="B300" s="88">
        <f t="shared" si="13"/>
        <v>2.0493171296296322</v>
      </c>
      <c r="C300" s="66"/>
      <c r="D300" s="64"/>
      <c r="E300" s="61"/>
      <c r="F300" s="62"/>
      <c r="G300" s="61"/>
      <c r="H300" s="68"/>
    </row>
    <row r="301" spans="1:26" s="45" customFormat="1" ht="19.5" customHeight="1">
      <c r="B301" s="88">
        <f t="shared" si="13"/>
        <v>2.0493171296296322</v>
      </c>
      <c r="C301" s="66"/>
      <c r="D301" s="64"/>
      <c r="E301" s="61"/>
      <c r="F301" s="62"/>
      <c r="G301" s="61"/>
      <c r="H301" s="68"/>
      <c r="I301" s="63"/>
      <c r="J301" s="63"/>
      <c r="K301" s="63"/>
      <c r="L301" s="63"/>
      <c r="M301" s="63"/>
      <c r="N301" s="63"/>
      <c r="O301" s="63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s="63" customFormat="1" ht="19.5" customHeight="1">
      <c r="B302" s="88">
        <f t="shared" si="13"/>
        <v>2.0493171296296322</v>
      </c>
      <c r="C302" s="66"/>
      <c r="D302" s="64"/>
      <c r="E302" s="61"/>
      <c r="F302" s="62"/>
      <c r="G302" s="61"/>
      <c r="H302" s="68"/>
    </row>
    <row r="303" spans="1:26" s="45" customFormat="1" ht="19.5" customHeight="1">
      <c r="A303" s="43" t="e">
        <f>SUM(#REF!+1)</f>
        <v>#REF!</v>
      </c>
      <c r="B303" s="88">
        <f t="shared" si="13"/>
        <v>2.0493171296296322</v>
      </c>
      <c r="C303" s="66"/>
      <c r="D303" s="64"/>
      <c r="E303" s="61"/>
      <c r="F303" s="62"/>
      <c r="G303" s="61"/>
      <c r="H303" s="68"/>
      <c r="I303" s="63"/>
      <c r="J303" s="63"/>
      <c r="K303" s="63"/>
      <c r="L303" s="63"/>
      <c r="M303" s="63"/>
      <c r="N303" s="63"/>
      <c r="O303" s="63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9.5" customHeight="1">
      <c r="B304" s="88">
        <f t="shared" si="13"/>
        <v>2.0493171296296322</v>
      </c>
      <c r="C304" s="66"/>
      <c r="D304" s="64"/>
      <c r="E304" s="61"/>
      <c r="F304" s="62"/>
      <c r="G304" s="61"/>
      <c r="H304" s="68"/>
      <c r="I304" s="63"/>
      <c r="J304" s="63"/>
      <c r="K304" s="63"/>
      <c r="L304" s="63"/>
      <c r="M304" s="63"/>
      <c r="N304" s="63"/>
      <c r="O304" s="63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9.5" customHeight="1">
      <c r="B305" s="88">
        <f t="shared" si="13"/>
        <v>2.0493171296296322</v>
      </c>
      <c r="C305" s="66"/>
      <c r="D305" s="64"/>
      <c r="E305" s="61"/>
      <c r="F305" s="62"/>
      <c r="G305" s="61"/>
      <c r="H305" s="68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9.5" customHeight="1">
      <c r="B306" s="88">
        <f t="shared" si="13"/>
        <v>2.0493171296296322</v>
      </c>
      <c r="C306" s="66"/>
      <c r="D306" s="64"/>
      <c r="E306" s="61"/>
      <c r="F306" s="62"/>
      <c r="G306" s="61"/>
      <c r="H306" s="68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9.5" customHeight="1">
      <c r="B307" s="88">
        <f t="shared" si="13"/>
        <v>2.0493171296296322</v>
      </c>
      <c r="C307" s="66"/>
      <c r="D307" s="64"/>
      <c r="E307" s="61"/>
      <c r="F307" s="62"/>
      <c r="G307" s="61"/>
      <c r="H307" s="68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9.5" customHeight="1">
      <c r="B308" s="88">
        <f t="shared" si="13"/>
        <v>2.0493171296296322</v>
      </c>
      <c r="C308" s="66"/>
      <c r="D308" s="64"/>
      <c r="E308" s="61"/>
      <c r="F308" s="62"/>
      <c r="G308" s="61"/>
      <c r="H308" s="68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s="63" customFormat="1" ht="19.5" customHeight="1">
      <c r="B309" s="88">
        <f t="shared" si="13"/>
        <v>2.0493171296296322</v>
      </c>
      <c r="C309" s="66"/>
      <c r="D309" s="64"/>
      <c r="E309" s="61"/>
      <c r="F309" s="62"/>
      <c r="G309" s="61"/>
      <c r="H309" s="68"/>
    </row>
    <row r="310" spans="1:26" ht="19.5" customHeight="1">
      <c r="B310" s="88">
        <f t="shared" si="13"/>
        <v>2.0493171296296322</v>
      </c>
      <c r="C310" s="66"/>
      <c r="D310" s="64"/>
      <c r="E310" s="61"/>
      <c r="F310" s="62"/>
      <c r="G310" s="61"/>
      <c r="H310" s="68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s="63" customFormat="1" ht="19.5" customHeight="1">
      <c r="B311" s="88">
        <f t="shared" si="13"/>
        <v>2.0493171296296322</v>
      </c>
      <c r="C311" s="66"/>
      <c r="D311" s="64"/>
      <c r="E311" s="61"/>
      <c r="F311" s="62"/>
      <c r="G311" s="61"/>
      <c r="H311" s="68"/>
    </row>
    <row r="312" spans="1:26" s="60" customFormat="1" ht="19.5" customHeight="1">
      <c r="A312" s="60">
        <f>SUM(A311+1)</f>
        <v>1</v>
      </c>
      <c r="B312" s="88">
        <f t="shared" si="13"/>
        <v>2.0493171296296322</v>
      </c>
      <c r="C312" s="66"/>
      <c r="D312" s="64"/>
      <c r="E312" s="61"/>
      <c r="F312" s="62"/>
      <c r="G312" s="61"/>
      <c r="H312" s="68"/>
    </row>
    <row r="313" spans="1:26" s="53" customFormat="1" ht="22.5" customHeight="1">
      <c r="B313" s="88">
        <f t="shared" si="13"/>
        <v>2.0493171296296322</v>
      </c>
      <c r="C313" s="66"/>
      <c r="D313" s="64"/>
      <c r="E313" s="61"/>
      <c r="F313" s="62"/>
      <c r="G313" s="61"/>
      <c r="H313" s="68"/>
    </row>
    <row r="314" spans="1:26" ht="19.5" customHeight="1">
      <c r="B314" s="88">
        <f t="shared" si="13"/>
        <v>2.0493171296296322</v>
      </c>
      <c r="C314" s="66"/>
      <c r="D314" s="64"/>
      <c r="E314" s="61"/>
      <c r="F314" s="62"/>
      <c r="G314" s="61"/>
      <c r="H314" s="68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s="57" customFormat="1" ht="22.5" customHeight="1">
      <c r="B315" s="88">
        <f t="shared" si="13"/>
        <v>2.0493171296296322</v>
      </c>
      <c r="C315" s="66"/>
      <c r="D315" s="64"/>
      <c r="E315" s="61"/>
      <c r="F315" s="62"/>
      <c r="G315" s="61"/>
      <c r="H315" s="68"/>
    </row>
    <row r="316" spans="1:26" s="53" customFormat="1" ht="22.5" customHeight="1">
      <c r="B316" s="88">
        <f t="shared" si="13"/>
        <v>2.0493171296296322</v>
      </c>
      <c r="C316" s="66"/>
      <c r="D316" s="64"/>
      <c r="E316" s="61"/>
      <c r="F316" s="62"/>
      <c r="G316" s="61"/>
      <c r="H316" s="68"/>
    </row>
    <row r="317" spans="1:26" s="53" customFormat="1" ht="22.5" customHeight="1">
      <c r="B317" s="88">
        <f t="shared" si="13"/>
        <v>2.0493171296296322</v>
      </c>
      <c r="C317" s="66"/>
      <c r="D317" s="64"/>
      <c r="E317" s="61"/>
      <c r="F317" s="62"/>
      <c r="G317" s="61"/>
      <c r="H317" s="68"/>
    </row>
    <row r="318" spans="1:26" ht="19.5" customHeight="1">
      <c r="B318" s="88">
        <f t="shared" si="13"/>
        <v>2.0493171296296322</v>
      </c>
      <c r="C318" s="66"/>
      <c r="D318" s="64"/>
      <c r="E318" s="61"/>
      <c r="F318" s="62"/>
      <c r="G318" s="61"/>
      <c r="H318" s="68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s="63" customFormat="1" ht="19.5" customHeight="1">
      <c r="B319" s="88">
        <f t="shared" si="13"/>
        <v>2.0493171296296322</v>
      </c>
      <c r="C319" s="66"/>
      <c r="D319" s="64"/>
      <c r="E319" s="61"/>
      <c r="F319" s="62"/>
      <c r="G319" s="61"/>
      <c r="H319" s="68"/>
    </row>
    <row r="320" spans="1:26" ht="19.5" customHeight="1">
      <c r="B320" s="88">
        <f t="shared" si="13"/>
        <v>2.0493171296296322</v>
      </c>
      <c r="C320" s="66"/>
      <c r="D320" s="64"/>
      <c r="E320" s="61"/>
      <c r="F320" s="62"/>
      <c r="G320" s="61"/>
      <c r="H320" s="68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s="63" customFormat="1" ht="19.5" customHeight="1">
      <c r="B321" s="88">
        <f t="shared" si="13"/>
        <v>2.0493171296296322</v>
      </c>
      <c r="C321" s="66"/>
      <c r="D321" s="64"/>
      <c r="E321" s="61"/>
      <c r="F321" s="62"/>
      <c r="G321" s="61"/>
      <c r="H321" s="68"/>
    </row>
    <row r="322" spans="1:26" s="60" customFormat="1" ht="18.75" customHeight="1">
      <c r="A322" s="60">
        <f>SUM(A321+1)</f>
        <v>1</v>
      </c>
      <c r="B322" s="88">
        <f t="shared" si="13"/>
        <v>2.0493171296296322</v>
      </c>
      <c r="C322" s="66"/>
      <c r="D322" s="64"/>
      <c r="E322" s="61"/>
      <c r="F322" s="62"/>
      <c r="G322" s="61"/>
      <c r="H322" s="68"/>
    </row>
    <row r="323" spans="1:26" s="53" customFormat="1" ht="22.5" customHeight="1">
      <c r="B323" s="88">
        <f t="shared" si="13"/>
        <v>2.0493171296296322</v>
      </c>
      <c r="C323" s="66"/>
      <c r="D323" s="64"/>
      <c r="E323" s="61"/>
      <c r="F323" s="62"/>
      <c r="G323" s="61"/>
      <c r="H323" s="68"/>
    </row>
    <row r="324" spans="1:26" ht="19.5" customHeight="1">
      <c r="B324" s="88">
        <f t="shared" si="13"/>
        <v>2.0493171296296322</v>
      </c>
      <c r="C324" s="66"/>
      <c r="D324" s="64"/>
      <c r="E324" s="61"/>
      <c r="F324" s="62"/>
      <c r="G324" s="61"/>
      <c r="H324" s="68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s="53" customFormat="1" ht="22.5" customHeight="1">
      <c r="B325" s="88">
        <f t="shared" ref="B325:B388" si="14">B324+F324</f>
        <v>2.0493171296296322</v>
      </c>
      <c r="C325" s="66"/>
      <c r="D325" s="64"/>
      <c r="E325" s="61"/>
      <c r="F325" s="62"/>
      <c r="G325" s="61"/>
      <c r="H325" s="68"/>
    </row>
    <row r="326" spans="1:26" ht="19.5" customHeight="1">
      <c r="B326" s="88">
        <f t="shared" si="14"/>
        <v>2.0493171296296322</v>
      </c>
      <c r="C326" s="66"/>
      <c r="D326" s="64"/>
      <c r="E326" s="61"/>
      <c r="F326" s="62"/>
      <c r="G326" s="61"/>
      <c r="H326" s="68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9.5" customHeight="1">
      <c r="B327" s="88">
        <f t="shared" si="14"/>
        <v>2.0493171296296322</v>
      </c>
      <c r="C327" s="66"/>
      <c r="D327" s="64"/>
      <c r="E327" s="61"/>
      <c r="F327" s="62"/>
      <c r="G327" s="61"/>
      <c r="H327" s="68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9.5" customHeight="1">
      <c r="B328" s="88">
        <f t="shared" si="14"/>
        <v>2.0493171296296322</v>
      </c>
      <c r="C328" s="66"/>
      <c r="D328" s="64"/>
      <c r="E328" s="61"/>
      <c r="F328" s="62"/>
      <c r="G328" s="61"/>
      <c r="H328" s="68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s="63" customFormat="1" ht="19.5" customHeight="1">
      <c r="B329" s="88">
        <f t="shared" si="14"/>
        <v>2.0493171296296322</v>
      </c>
      <c r="C329" s="66"/>
      <c r="D329" s="64"/>
      <c r="E329" s="61"/>
      <c r="F329" s="62"/>
      <c r="G329" s="61"/>
      <c r="H329" s="68"/>
    </row>
    <row r="330" spans="1:26" ht="19.5" customHeight="1">
      <c r="B330" s="88">
        <f t="shared" si="14"/>
        <v>2.0493171296296322</v>
      </c>
      <c r="C330" s="66"/>
      <c r="D330" s="64"/>
      <c r="E330" s="61"/>
      <c r="F330" s="62"/>
      <c r="G330" s="61"/>
      <c r="H330" s="68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s="63" customFormat="1" ht="19.5" customHeight="1">
      <c r="B331" s="88">
        <f t="shared" si="14"/>
        <v>2.0493171296296322</v>
      </c>
      <c r="C331" s="66"/>
      <c r="D331" s="64"/>
      <c r="E331" s="61"/>
      <c r="F331" s="62"/>
      <c r="G331" s="61"/>
      <c r="H331" s="68"/>
    </row>
    <row r="332" spans="1:26" ht="19.5" customHeight="1">
      <c r="B332" s="88">
        <f t="shared" si="14"/>
        <v>2.0493171296296322</v>
      </c>
      <c r="C332" s="66"/>
      <c r="D332" s="64"/>
      <c r="E332" s="61"/>
      <c r="F332" s="62"/>
      <c r="G332" s="61"/>
      <c r="H332" s="68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9.5" customHeight="1">
      <c r="B333" s="88">
        <f t="shared" si="14"/>
        <v>2.0493171296296322</v>
      </c>
      <c r="C333" s="66"/>
      <c r="D333" s="64"/>
      <c r="E333" s="61"/>
      <c r="F333" s="62"/>
      <c r="G333" s="61"/>
      <c r="H333" s="68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9.5" customHeight="1">
      <c r="B334" s="88">
        <f t="shared" si="14"/>
        <v>2.0493171296296322</v>
      </c>
      <c r="C334" s="66"/>
      <c r="D334" s="64"/>
      <c r="E334" s="61"/>
      <c r="F334" s="62"/>
      <c r="G334" s="61"/>
      <c r="H334" s="68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9.5" customHeight="1">
      <c r="B335" s="88">
        <f t="shared" si="14"/>
        <v>2.0493171296296322</v>
      </c>
      <c r="C335" s="66"/>
      <c r="D335" s="64"/>
      <c r="E335" s="61"/>
      <c r="F335" s="62"/>
      <c r="G335" s="61"/>
      <c r="H335" s="68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9.5" customHeight="1">
      <c r="B336" s="88">
        <f t="shared" si="14"/>
        <v>2.0493171296296322</v>
      </c>
      <c r="C336" s="66"/>
      <c r="D336" s="64"/>
      <c r="E336" s="61"/>
      <c r="F336" s="62"/>
      <c r="G336" s="61"/>
      <c r="H336" s="68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2:26" s="45" customFormat="1" ht="19.5" customHeight="1">
      <c r="B337" s="88">
        <f t="shared" si="14"/>
        <v>2.0493171296296322</v>
      </c>
      <c r="C337" s="66"/>
      <c r="D337" s="64"/>
      <c r="E337" s="61"/>
      <c r="F337" s="62"/>
      <c r="G337" s="61"/>
      <c r="H337" s="68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2:26" ht="19.5" customHeight="1">
      <c r="B338" s="88">
        <f t="shared" si="14"/>
        <v>2.0493171296296322</v>
      </c>
      <c r="C338" s="66"/>
      <c r="D338" s="64"/>
      <c r="E338" s="61"/>
      <c r="F338" s="62"/>
      <c r="G338" s="61"/>
      <c r="H338" s="68"/>
      <c r="I338" s="63"/>
      <c r="J338" s="63"/>
      <c r="K338" s="63"/>
      <c r="L338" s="63"/>
      <c r="M338" s="63"/>
      <c r="N338" s="63"/>
      <c r="O338" s="63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2:26" s="63" customFormat="1" ht="19.5" customHeight="1">
      <c r="B339" s="88">
        <f t="shared" si="14"/>
        <v>2.0493171296296322</v>
      </c>
      <c r="C339" s="66"/>
      <c r="D339" s="64"/>
      <c r="E339" s="61"/>
      <c r="F339" s="62"/>
      <c r="G339" s="61"/>
      <c r="H339" s="68"/>
    </row>
    <row r="340" spans="2:26" ht="19.5" customHeight="1">
      <c r="B340" s="88">
        <f t="shared" si="14"/>
        <v>2.0493171296296322</v>
      </c>
      <c r="C340" s="66"/>
      <c r="D340" s="64"/>
      <c r="E340" s="61"/>
      <c r="F340" s="62"/>
      <c r="G340" s="61"/>
      <c r="H340" s="68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2:26" s="63" customFormat="1" ht="19.5" customHeight="1">
      <c r="B341" s="88">
        <f t="shared" si="14"/>
        <v>2.0493171296296322</v>
      </c>
      <c r="C341" s="66"/>
      <c r="D341" s="64"/>
      <c r="E341" s="61"/>
      <c r="F341" s="62"/>
      <c r="G341" s="61"/>
      <c r="H341" s="68"/>
    </row>
    <row r="342" spans="2:26" s="53" customFormat="1" ht="22.5" customHeight="1">
      <c r="B342" s="88">
        <f t="shared" si="14"/>
        <v>2.0493171296296322</v>
      </c>
      <c r="C342" s="66"/>
      <c r="D342" s="64"/>
      <c r="E342" s="61"/>
      <c r="F342" s="62"/>
      <c r="G342" s="61"/>
      <c r="H342" s="68"/>
    </row>
    <row r="343" spans="2:26" ht="19.5" customHeight="1">
      <c r="B343" s="88">
        <f t="shared" si="14"/>
        <v>2.0493171296296322</v>
      </c>
      <c r="C343" s="66"/>
      <c r="D343" s="64"/>
      <c r="E343" s="61"/>
      <c r="F343" s="62"/>
      <c r="G343" s="61"/>
      <c r="H343" s="68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2:26" s="53" customFormat="1" ht="22.5" customHeight="1">
      <c r="B344" s="88">
        <f t="shared" si="14"/>
        <v>2.0493171296296322</v>
      </c>
      <c r="C344" s="66"/>
      <c r="D344" s="64"/>
      <c r="E344" s="61"/>
      <c r="F344" s="62"/>
      <c r="G344" s="61"/>
      <c r="H344" s="68"/>
      <c r="I344" s="54"/>
      <c r="J344" s="55"/>
      <c r="K344" s="55"/>
    </row>
    <row r="345" spans="2:26" s="63" customFormat="1" ht="19.5" customHeight="1">
      <c r="B345" s="88">
        <f t="shared" si="14"/>
        <v>2.0493171296296322</v>
      </c>
      <c r="C345" s="66"/>
      <c r="D345" s="64"/>
      <c r="E345" s="61"/>
      <c r="F345" s="62"/>
      <c r="G345" s="61"/>
      <c r="H345" s="68"/>
    </row>
    <row r="346" spans="2:26" s="53" customFormat="1" ht="22.5" customHeight="1">
      <c r="B346" s="88">
        <f t="shared" si="14"/>
        <v>2.0493171296296322</v>
      </c>
      <c r="C346" s="66"/>
      <c r="D346" s="64"/>
      <c r="E346" s="61"/>
      <c r="F346" s="62"/>
      <c r="G346" s="61"/>
      <c r="H346" s="68"/>
    </row>
    <row r="347" spans="2:26" s="38" customFormat="1" ht="19.5" customHeight="1">
      <c r="B347" s="88">
        <f t="shared" si="14"/>
        <v>2.0493171296296322</v>
      </c>
      <c r="C347" s="66"/>
      <c r="D347" s="64"/>
      <c r="E347" s="61"/>
      <c r="F347" s="62"/>
      <c r="G347" s="61"/>
      <c r="H347" s="68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2:26" s="60" customFormat="1" ht="19.5" customHeight="1">
      <c r="B348" s="88">
        <f t="shared" si="14"/>
        <v>2.0493171296296322</v>
      </c>
      <c r="C348" s="66"/>
      <c r="D348" s="64"/>
      <c r="E348" s="61"/>
      <c r="F348" s="62"/>
      <c r="G348" s="61"/>
      <c r="H348" s="68"/>
    </row>
    <row r="349" spans="2:26" s="48" customFormat="1" ht="22.5" customHeight="1">
      <c r="B349" s="88">
        <f t="shared" si="14"/>
        <v>2.0493171296296322</v>
      </c>
      <c r="C349" s="66"/>
      <c r="D349" s="64"/>
      <c r="E349" s="61"/>
      <c r="F349" s="62"/>
      <c r="G349" s="61"/>
      <c r="H349" s="68"/>
      <c r="I349" s="63"/>
      <c r="J349" s="63"/>
      <c r="K349" s="63"/>
      <c r="L349" s="63"/>
      <c r="M349" s="63"/>
      <c r="N349" s="63"/>
      <c r="O349" s="63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2:26" s="53" customFormat="1" ht="22.5" customHeight="1">
      <c r="B350" s="88">
        <f t="shared" si="14"/>
        <v>2.0493171296296322</v>
      </c>
      <c r="C350" s="66"/>
      <c r="D350" s="64"/>
      <c r="E350" s="61"/>
      <c r="F350" s="62"/>
      <c r="G350" s="61"/>
      <c r="H350" s="68"/>
    </row>
    <row r="351" spans="2:26" s="53" customFormat="1" ht="22.5" customHeight="1">
      <c r="B351" s="88">
        <f t="shared" si="14"/>
        <v>2.0493171296296322</v>
      </c>
      <c r="C351" s="66"/>
      <c r="D351" s="64"/>
      <c r="E351" s="61"/>
      <c r="F351" s="62"/>
      <c r="G351" s="61"/>
      <c r="H351" s="68"/>
    </row>
    <row r="352" spans="2:26" s="53" customFormat="1" ht="22.5" customHeight="1">
      <c r="B352" s="88">
        <f t="shared" si="14"/>
        <v>2.0493171296296322</v>
      </c>
      <c r="C352" s="66"/>
      <c r="D352" s="64"/>
      <c r="E352" s="61"/>
      <c r="F352" s="62"/>
      <c r="G352" s="61"/>
      <c r="H352" s="68"/>
    </row>
    <row r="353" spans="2:26" s="57" customFormat="1" ht="22.5" customHeight="1">
      <c r="B353" s="88">
        <f t="shared" si="14"/>
        <v>2.0493171296296322</v>
      </c>
      <c r="C353" s="66"/>
      <c r="D353" s="64"/>
      <c r="E353" s="61"/>
      <c r="F353" s="62"/>
      <c r="G353" s="61"/>
      <c r="H353" s="68"/>
    </row>
    <row r="354" spans="2:26" s="48" customFormat="1" ht="22.5" customHeight="1">
      <c r="B354" s="88">
        <f t="shared" si="14"/>
        <v>2.0493171296296322</v>
      </c>
      <c r="C354" s="66"/>
      <c r="D354" s="64"/>
      <c r="E354" s="61"/>
      <c r="F354" s="62"/>
      <c r="G354" s="61"/>
      <c r="H354" s="68"/>
      <c r="I354" s="63"/>
      <c r="J354" s="63"/>
      <c r="K354" s="63"/>
      <c r="L354" s="63"/>
      <c r="M354" s="63"/>
      <c r="N354" s="63"/>
      <c r="O354" s="6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2:26" ht="19.5" customHeight="1">
      <c r="B355" s="88">
        <f t="shared" si="14"/>
        <v>2.0493171296296322</v>
      </c>
      <c r="C355" s="66"/>
      <c r="D355" s="64"/>
      <c r="E355" s="61"/>
      <c r="F355" s="62"/>
      <c r="G355" s="61"/>
      <c r="H355" s="68"/>
      <c r="I355" s="63"/>
      <c r="J355" s="63"/>
      <c r="K355" s="63"/>
      <c r="L355" s="63"/>
      <c r="M355" s="63"/>
      <c r="N355" s="63"/>
      <c r="O355" s="6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2:26" ht="19.5" customHeight="1">
      <c r="B356" s="88">
        <f t="shared" si="14"/>
        <v>2.0493171296296322</v>
      </c>
      <c r="C356" s="66"/>
      <c r="D356" s="64"/>
      <c r="E356" s="61"/>
      <c r="F356" s="62"/>
      <c r="G356" s="61"/>
      <c r="H356" s="68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2:26" ht="19.5" customHeight="1">
      <c r="B357" s="88">
        <f t="shared" si="14"/>
        <v>2.0493171296296322</v>
      </c>
      <c r="C357" s="66"/>
      <c r="D357" s="64"/>
      <c r="E357" s="61"/>
      <c r="F357" s="62"/>
      <c r="G357" s="61"/>
      <c r="H357" s="68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2:26" s="53" customFormat="1" ht="22.5" customHeight="1">
      <c r="B358" s="88">
        <f t="shared" si="14"/>
        <v>2.0493171296296322</v>
      </c>
      <c r="C358" s="66"/>
      <c r="D358" s="64"/>
      <c r="E358" s="61"/>
      <c r="F358" s="62"/>
      <c r="G358" s="61"/>
      <c r="H358" s="68"/>
    </row>
    <row r="359" spans="2:26" ht="19.5" customHeight="1">
      <c r="B359" s="88">
        <f t="shared" si="14"/>
        <v>2.0493171296296322</v>
      </c>
      <c r="C359" s="66"/>
      <c r="D359" s="64"/>
      <c r="E359" s="61"/>
      <c r="F359" s="62"/>
      <c r="G359" s="61"/>
      <c r="H359" s="68"/>
      <c r="I359" s="60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2:26" ht="19.5" customHeight="1">
      <c r="B360" s="88">
        <f t="shared" si="14"/>
        <v>2.0493171296296322</v>
      </c>
      <c r="C360" s="66"/>
      <c r="D360" s="64"/>
      <c r="E360" s="61"/>
      <c r="F360" s="62"/>
      <c r="G360" s="61"/>
      <c r="H360" s="68"/>
      <c r="I360" s="60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2:26" ht="19.5" customHeight="1">
      <c r="B361" s="88">
        <f t="shared" si="14"/>
        <v>2.0493171296296322</v>
      </c>
      <c r="C361" s="66"/>
      <c r="D361" s="64"/>
      <c r="E361" s="61"/>
      <c r="F361" s="62"/>
      <c r="G361" s="61"/>
      <c r="H361" s="68"/>
      <c r="I361" s="60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2:26" s="63" customFormat="1" ht="19.5" customHeight="1">
      <c r="B362" s="88">
        <f t="shared" si="14"/>
        <v>2.0493171296296322</v>
      </c>
      <c r="C362" s="66"/>
      <c r="D362" s="64"/>
      <c r="E362" s="61"/>
      <c r="F362" s="62"/>
      <c r="G362" s="61"/>
      <c r="H362" s="68"/>
    </row>
    <row r="363" spans="2:26" ht="19.5" customHeight="1">
      <c r="B363" s="88">
        <f t="shared" si="14"/>
        <v>2.0493171296296322</v>
      </c>
      <c r="C363" s="66"/>
      <c r="D363" s="64"/>
      <c r="E363" s="61"/>
      <c r="F363" s="62"/>
      <c r="G363" s="61"/>
      <c r="H363" s="68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2:26" s="53" customFormat="1" ht="22.5" customHeight="1">
      <c r="B364" s="88">
        <f t="shared" si="14"/>
        <v>2.0493171296296322</v>
      </c>
      <c r="C364" s="66"/>
      <c r="D364" s="64"/>
      <c r="E364" s="61"/>
      <c r="F364" s="62"/>
      <c r="G364" s="61"/>
      <c r="H364" s="68"/>
      <c r="I364" s="63"/>
      <c r="J364" s="63"/>
      <c r="K364" s="63"/>
      <c r="L364" s="63"/>
      <c r="M364" s="63"/>
      <c r="N364" s="63"/>
      <c r="O364" s="63"/>
    </row>
    <row r="365" spans="2:26" ht="19.5" customHeight="1">
      <c r="B365" s="88">
        <f t="shared" si="14"/>
        <v>2.0493171296296322</v>
      </c>
      <c r="C365" s="66"/>
      <c r="D365" s="64"/>
      <c r="E365" s="61"/>
      <c r="F365" s="62"/>
      <c r="G365" s="61"/>
      <c r="H365" s="68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2:26" ht="19.5" customHeight="1">
      <c r="B366" s="88">
        <f t="shared" si="14"/>
        <v>2.0493171296296322</v>
      </c>
      <c r="C366" s="66"/>
      <c r="D366" s="64"/>
      <c r="E366" s="61"/>
      <c r="F366" s="62"/>
      <c r="G366" s="61"/>
      <c r="H366" s="68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2:26" ht="19.5" customHeight="1">
      <c r="B367" s="88">
        <f t="shared" si="14"/>
        <v>2.0493171296296322</v>
      </c>
      <c r="C367" s="66"/>
      <c r="D367" s="64"/>
      <c r="E367" s="61"/>
      <c r="F367" s="62"/>
      <c r="G367" s="61"/>
      <c r="H367" s="68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2:26" s="48" customFormat="1" ht="22.5" customHeight="1">
      <c r="B368" s="88">
        <f t="shared" si="14"/>
        <v>2.0493171296296322</v>
      </c>
      <c r="C368" s="66"/>
      <c r="D368" s="64"/>
      <c r="E368" s="61"/>
      <c r="F368" s="62"/>
      <c r="G368" s="61"/>
      <c r="H368" s="68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2:26" s="48" customFormat="1" ht="22.5" customHeight="1">
      <c r="B369" s="88">
        <f t="shared" si="14"/>
        <v>2.0493171296296322</v>
      </c>
      <c r="C369" s="66"/>
      <c r="D369" s="64"/>
      <c r="E369" s="61"/>
      <c r="F369" s="62"/>
      <c r="G369" s="61"/>
      <c r="H369" s="68"/>
      <c r="I369" s="63"/>
      <c r="J369" s="63"/>
      <c r="K369" s="63"/>
      <c r="L369" s="63"/>
      <c r="M369" s="63"/>
      <c r="N369" s="63"/>
      <c r="O369" s="6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2:26" ht="19.5" customHeight="1">
      <c r="B370" s="88">
        <f t="shared" si="14"/>
        <v>2.0493171296296322</v>
      </c>
      <c r="C370" s="66"/>
      <c r="D370" s="64"/>
      <c r="E370" s="61"/>
      <c r="F370" s="62"/>
      <c r="G370" s="61"/>
      <c r="H370" s="68"/>
      <c r="I370" s="60"/>
      <c r="J370" s="63"/>
      <c r="K370" s="63"/>
      <c r="L370" s="63"/>
      <c r="M370" s="63"/>
      <c r="N370" s="63"/>
      <c r="O370" s="6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2:26" ht="19.5" customHeight="1">
      <c r="B371" s="88">
        <f t="shared" si="14"/>
        <v>2.0493171296296322</v>
      </c>
      <c r="C371" s="66"/>
      <c r="D371" s="64"/>
      <c r="E371" s="61"/>
      <c r="F371" s="62"/>
      <c r="G371" s="61"/>
      <c r="H371" s="68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2:26" ht="19.5" customHeight="1">
      <c r="B372" s="88">
        <f t="shared" si="14"/>
        <v>2.0493171296296322</v>
      </c>
      <c r="C372" s="66"/>
      <c r="D372" s="64"/>
      <c r="E372" s="61"/>
      <c r="F372" s="62"/>
      <c r="G372" s="61"/>
      <c r="H372" s="68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2:26" s="45" customFormat="1" ht="19.5" customHeight="1">
      <c r="B373" s="88">
        <f t="shared" si="14"/>
        <v>2.0493171296296322</v>
      </c>
      <c r="C373" s="66"/>
      <c r="D373" s="64"/>
      <c r="E373" s="61"/>
      <c r="F373" s="62"/>
      <c r="G373" s="61"/>
      <c r="H373" s="68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2:26" ht="19.5" customHeight="1">
      <c r="B374" s="88">
        <f t="shared" si="14"/>
        <v>2.0493171296296322</v>
      </c>
      <c r="C374" s="66"/>
      <c r="D374" s="64"/>
      <c r="E374" s="61"/>
      <c r="F374" s="62"/>
      <c r="G374" s="61"/>
      <c r="H374" s="68"/>
      <c r="I374" s="63"/>
      <c r="J374" s="63"/>
      <c r="K374" s="63"/>
      <c r="L374" s="63"/>
      <c r="M374" s="63"/>
      <c r="N374" s="63"/>
      <c r="O374" s="63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2:26" s="63" customFormat="1" ht="19.5" customHeight="1">
      <c r="B375" s="88">
        <f t="shared" si="14"/>
        <v>2.0493171296296322</v>
      </c>
      <c r="C375" s="66"/>
      <c r="D375" s="64"/>
      <c r="E375" s="61"/>
      <c r="F375" s="62"/>
      <c r="G375" s="61"/>
      <c r="H375" s="68"/>
    </row>
    <row r="376" spans="2:26" ht="19.5" customHeight="1">
      <c r="B376" s="88">
        <f t="shared" si="14"/>
        <v>2.0493171296296322</v>
      </c>
      <c r="C376" s="66"/>
      <c r="D376" s="64"/>
      <c r="E376" s="61"/>
      <c r="F376" s="62"/>
      <c r="G376" s="61"/>
      <c r="H376" s="68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2:26" s="53" customFormat="1" ht="22.5" customHeight="1">
      <c r="B377" s="88">
        <f t="shared" si="14"/>
        <v>2.0493171296296322</v>
      </c>
      <c r="C377" s="66"/>
      <c r="D377" s="64"/>
      <c r="E377" s="61"/>
      <c r="F377" s="62"/>
      <c r="G377" s="61"/>
      <c r="H377" s="68"/>
    </row>
    <row r="378" spans="2:26" ht="19.5" customHeight="1">
      <c r="B378" s="88">
        <f t="shared" si="14"/>
        <v>2.0493171296296322</v>
      </c>
      <c r="C378" s="66"/>
      <c r="D378" s="64"/>
      <c r="E378" s="61"/>
      <c r="F378" s="62"/>
      <c r="G378" s="61"/>
      <c r="H378" s="68"/>
      <c r="I378" s="60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2:26" ht="19.5" customHeight="1">
      <c r="B379" s="88">
        <f t="shared" si="14"/>
        <v>2.0493171296296322</v>
      </c>
      <c r="C379" s="66"/>
      <c r="D379" s="64"/>
      <c r="E379" s="61"/>
      <c r="F379" s="62"/>
      <c r="G379" s="61"/>
      <c r="H379" s="68"/>
      <c r="I379" s="60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2:26" ht="19.5" customHeight="1">
      <c r="B380" s="88">
        <f t="shared" si="14"/>
        <v>2.0493171296296322</v>
      </c>
      <c r="C380" s="66"/>
      <c r="D380" s="64"/>
      <c r="E380" s="61"/>
      <c r="F380" s="62"/>
      <c r="G380" s="61"/>
      <c r="H380" s="68"/>
      <c r="I380" s="60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2:26" ht="19.5" customHeight="1">
      <c r="B381" s="88">
        <f t="shared" si="14"/>
        <v>2.0493171296296322</v>
      </c>
      <c r="C381" s="66"/>
      <c r="D381" s="64"/>
      <c r="E381" s="61"/>
      <c r="F381" s="62"/>
      <c r="G381" s="61"/>
      <c r="H381" s="68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2:26" s="48" customFormat="1" ht="22.5" customHeight="1">
      <c r="B382" s="88">
        <f t="shared" si="14"/>
        <v>2.0493171296296322</v>
      </c>
      <c r="C382" s="66"/>
      <c r="D382" s="64"/>
      <c r="E382" s="61"/>
      <c r="F382" s="62"/>
      <c r="G382" s="61"/>
      <c r="H382" s="68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2:26" ht="19.5" customHeight="1">
      <c r="B383" s="88">
        <f t="shared" si="14"/>
        <v>2.0493171296296322</v>
      </c>
      <c r="C383" s="66"/>
      <c r="D383" s="64"/>
      <c r="E383" s="61"/>
      <c r="F383" s="62"/>
      <c r="G383" s="61"/>
      <c r="H383" s="68"/>
      <c r="I383" s="63"/>
      <c r="J383" s="63"/>
      <c r="K383" s="63"/>
      <c r="L383" s="63"/>
      <c r="M383" s="63"/>
      <c r="N383" s="63"/>
      <c r="O383" s="6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2:26" ht="19.5" customHeight="1">
      <c r="B384" s="88">
        <f t="shared" si="14"/>
        <v>2.0493171296296322</v>
      </c>
      <c r="C384" s="66"/>
      <c r="D384" s="64"/>
      <c r="E384" s="61"/>
      <c r="F384" s="62"/>
      <c r="G384" s="61"/>
      <c r="H384" s="68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9.5" customHeight="1">
      <c r="B385" s="88">
        <f t="shared" si="14"/>
        <v>2.0493171296296322</v>
      </c>
      <c r="C385" s="66"/>
      <c r="D385" s="64"/>
      <c r="E385" s="61"/>
      <c r="F385" s="62"/>
      <c r="G385" s="61"/>
      <c r="H385" s="68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9.5" customHeight="1">
      <c r="B386" s="88">
        <f t="shared" si="14"/>
        <v>2.0493171296296322</v>
      </c>
      <c r="C386" s="66"/>
      <c r="D386" s="64"/>
      <c r="E386" s="61"/>
      <c r="F386" s="62"/>
      <c r="G386" s="61"/>
      <c r="H386" s="68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9.5" customHeight="1">
      <c r="B387" s="88">
        <f t="shared" si="14"/>
        <v>2.0493171296296322</v>
      </c>
      <c r="C387" s="66"/>
      <c r="D387" s="64"/>
      <c r="E387" s="61"/>
      <c r="F387" s="62"/>
      <c r="G387" s="61"/>
      <c r="H387" s="68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s="48" customFormat="1" ht="22.5" customHeight="1">
      <c r="B388" s="88">
        <f t="shared" si="14"/>
        <v>2.0493171296296322</v>
      </c>
      <c r="C388" s="66"/>
      <c r="D388" s="64"/>
      <c r="E388" s="61"/>
      <c r="F388" s="62"/>
      <c r="G388" s="61"/>
      <c r="H388" s="68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s="48" customFormat="1" ht="22.5" customHeight="1">
      <c r="B389" s="88">
        <f t="shared" ref="B389:B452" si="15">B388+F388</f>
        <v>2.0493171296296322</v>
      </c>
      <c r="C389" s="66"/>
      <c r="D389" s="64"/>
      <c r="E389" s="61"/>
      <c r="F389" s="62"/>
      <c r="G389" s="61"/>
      <c r="H389" s="68"/>
      <c r="I389" s="63"/>
      <c r="J389" s="63"/>
      <c r="K389" s="63"/>
      <c r="L389" s="63"/>
      <c r="M389" s="63"/>
      <c r="N389" s="63"/>
      <c r="O389" s="6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s="45" customFormat="1" ht="19.5" customHeight="1">
      <c r="A390" s="45">
        <f>SUM(A386+1)</f>
        <v>1</v>
      </c>
      <c r="B390" s="88">
        <f t="shared" si="15"/>
        <v>2.0493171296296322</v>
      </c>
      <c r="C390" s="66"/>
      <c r="D390" s="64"/>
      <c r="E390" s="61"/>
      <c r="F390" s="62"/>
      <c r="G390" s="61"/>
      <c r="H390" s="68"/>
      <c r="I390" s="63"/>
      <c r="J390" s="63"/>
      <c r="K390" s="63"/>
      <c r="L390" s="63"/>
      <c r="M390" s="63"/>
      <c r="N390" s="63"/>
      <c r="O390" s="6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s="45" customFormat="1" ht="19.5" customHeight="1">
      <c r="A391" s="45">
        <f>SUM(A390+1)</f>
        <v>2</v>
      </c>
      <c r="B391" s="88">
        <f t="shared" si="15"/>
        <v>2.0493171296296322</v>
      </c>
      <c r="C391" s="66"/>
      <c r="D391" s="64"/>
      <c r="E391" s="61"/>
      <c r="F391" s="62"/>
      <c r="G391" s="61"/>
      <c r="H391" s="68"/>
      <c r="I391" s="63"/>
      <c r="J391" s="63"/>
      <c r="K391" s="63"/>
      <c r="L391" s="63"/>
      <c r="M391" s="63"/>
      <c r="N391" s="63"/>
      <c r="O391" s="63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s="45" customFormat="1" ht="19.5" customHeight="1">
      <c r="A392" s="45">
        <f>SUM(A391+1)</f>
        <v>3</v>
      </c>
      <c r="B392" s="88">
        <f t="shared" si="15"/>
        <v>2.0493171296296322</v>
      </c>
      <c r="C392" s="66"/>
      <c r="D392" s="64"/>
      <c r="E392" s="61"/>
      <c r="F392" s="62"/>
      <c r="G392" s="61"/>
      <c r="H392" s="68"/>
      <c r="I392" s="63"/>
      <c r="J392" s="63"/>
      <c r="K392" s="63"/>
      <c r="L392" s="63"/>
      <c r="M392" s="63"/>
      <c r="N392" s="63"/>
      <c r="O392" s="63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s="49" customFormat="1" ht="19.5" customHeight="1">
      <c r="B393" s="88">
        <f t="shared" si="15"/>
        <v>2.0493171296296322</v>
      </c>
      <c r="C393" s="66"/>
      <c r="D393" s="64"/>
      <c r="E393" s="61"/>
      <c r="F393" s="62"/>
      <c r="G393" s="61"/>
      <c r="H393" s="68"/>
      <c r="I393" s="63"/>
      <c r="J393" s="63"/>
      <c r="K393" s="63"/>
      <c r="L393" s="63"/>
      <c r="M393" s="63"/>
      <c r="N393" s="63"/>
      <c r="O393" s="63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9.5" customHeight="1">
      <c r="B394" s="88">
        <f t="shared" si="15"/>
        <v>2.0493171296296322</v>
      </c>
      <c r="C394" s="66"/>
      <c r="D394" s="64"/>
      <c r="E394" s="61"/>
      <c r="F394" s="62"/>
      <c r="G394" s="61"/>
      <c r="H394" s="68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s="45" customFormat="1" ht="19.5" customHeight="1">
      <c r="A395" s="43"/>
      <c r="B395" s="88">
        <f t="shared" si="15"/>
        <v>2.0493171296296322</v>
      </c>
      <c r="C395" s="66"/>
      <c r="D395" s="64"/>
      <c r="E395" s="61"/>
      <c r="F395" s="62"/>
      <c r="G395" s="61"/>
      <c r="H395" s="68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s="45" customFormat="1" ht="19.5" customHeight="1">
      <c r="B396" s="88">
        <f t="shared" si="15"/>
        <v>2.0493171296296322</v>
      </c>
      <c r="C396" s="66"/>
      <c r="D396" s="64"/>
      <c r="E396" s="61"/>
      <c r="F396" s="62"/>
      <c r="G396" s="61"/>
      <c r="H396" s="68"/>
      <c r="I396" s="63"/>
      <c r="J396" s="63"/>
      <c r="K396" s="63"/>
      <c r="L396" s="63"/>
      <c r="M396" s="63"/>
      <c r="N396" s="63"/>
      <c r="O396" s="63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s="45" customFormat="1" ht="19.5" customHeight="1">
      <c r="A397" s="43"/>
      <c r="B397" s="88">
        <f t="shared" si="15"/>
        <v>2.0493171296296322</v>
      </c>
      <c r="C397" s="66"/>
      <c r="D397" s="64"/>
      <c r="E397" s="61"/>
      <c r="F397" s="62"/>
      <c r="G397" s="61"/>
      <c r="H397" s="68"/>
      <c r="I397" s="63"/>
      <c r="J397" s="63"/>
      <c r="K397" s="63"/>
      <c r="L397" s="63"/>
      <c r="M397" s="63"/>
      <c r="N397" s="63"/>
      <c r="O397" s="63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9.5" customHeight="1">
      <c r="B398" s="88">
        <f t="shared" si="15"/>
        <v>2.0493171296296322</v>
      </c>
      <c r="C398" s="66"/>
      <c r="D398" s="64"/>
      <c r="E398" s="61"/>
      <c r="F398" s="62"/>
      <c r="G398" s="61"/>
      <c r="H398" s="68"/>
      <c r="I398" s="63"/>
      <c r="J398" s="63"/>
      <c r="K398" s="63"/>
      <c r="L398" s="63"/>
      <c r="M398" s="63"/>
      <c r="N398" s="63"/>
      <c r="O398" s="63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9.5" customHeight="1">
      <c r="B399" s="88">
        <f t="shared" si="15"/>
        <v>2.0493171296296322</v>
      </c>
      <c r="C399" s="66"/>
      <c r="D399" s="64"/>
      <c r="E399" s="61"/>
      <c r="F399" s="62"/>
      <c r="G399" s="61"/>
      <c r="H399" s="68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9.5" customHeight="1">
      <c r="B400" s="88">
        <f t="shared" si="15"/>
        <v>2.0493171296296322</v>
      </c>
      <c r="C400" s="66"/>
      <c r="D400" s="64"/>
      <c r="E400" s="61"/>
      <c r="F400" s="62"/>
      <c r="G400" s="61"/>
      <c r="H400" s="68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9.5" customHeight="1">
      <c r="B401" s="88">
        <f t="shared" si="15"/>
        <v>2.0493171296296322</v>
      </c>
      <c r="C401" s="66"/>
      <c r="D401" s="64"/>
      <c r="E401" s="61"/>
      <c r="F401" s="62"/>
      <c r="G401" s="61"/>
      <c r="H401" s="68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9.5" customHeight="1">
      <c r="B402" s="88">
        <f t="shared" si="15"/>
        <v>2.0493171296296322</v>
      </c>
      <c r="C402" s="66"/>
      <c r="D402" s="64"/>
      <c r="E402" s="61"/>
      <c r="F402" s="62"/>
      <c r="G402" s="61"/>
      <c r="H402" s="68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s="48" customFormat="1" ht="22.5" customHeight="1">
      <c r="B403" s="88">
        <f t="shared" si="15"/>
        <v>2.0493171296296322</v>
      </c>
      <c r="C403" s="66"/>
      <c r="D403" s="64"/>
      <c r="E403" s="61"/>
      <c r="F403" s="62"/>
      <c r="G403" s="61"/>
      <c r="H403" s="68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9.5" customHeight="1">
      <c r="B404" s="88">
        <f t="shared" si="15"/>
        <v>2.0493171296296322</v>
      </c>
      <c r="C404" s="66"/>
      <c r="D404" s="64"/>
      <c r="E404" s="61"/>
      <c r="F404" s="62"/>
      <c r="G404" s="61"/>
      <c r="H404" s="68"/>
      <c r="I404" s="63"/>
      <c r="J404" s="63"/>
      <c r="K404" s="63"/>
      <c r="L404" s="63"/>
      <c r="M404" s="63"/>
      <c r="N404" s="63"/>
      <c r="O404" s="6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s="45" customFormat="1" ht="19.5" customHeight="1">
      <c r="A405" s="43"/>
      <c r="B405" s="88">
        <f t="shared" si="15"/>
        <v>2.0493171296296322</v>
      </c>
      <c r="C405" s="66"/>
      <c r="D405" s="64"/>
      <c r="E405" s="61"/>
      <c r="F405" s="62"/>
      <c r="G405" s="61"/>
      <c r="H405" s="68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s="45" customFormat="1" ht="19.5" customHeight="1">
      <c r="B406" s="88">
        <f t="shared" si="15"/>
        <v>2.0493171296296322</v>
      </c>
      <c r="C406" s="66"/>
      <c r="D406" s="64"/>
      <c r="E406" s="61"/>
      <c r="F406" s="62"/>
      <c r="G406" s="61"/>
      <c r="H406" s="68"/>
      <c r="I406" s="63"/>
      <c r="J406" s="63"/>
      <c r="K406" s="63"/>
      <c r="L406" s="63"/>
      <c r="M406" s="63"/>
      <c r="N406" s="63"/>
      <c r="O406" s="63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s="45" customFormat="1" ht="19.5" customHeight="1">
      <c r="A407" s="43"/>
      <c r="B407" s="88">
        <f t="shared" si="15"/>
        <v>2.0493171296296322</v>
      </c>
      <c r="C407" s="66"/>
      <c r="D407" s="64"/>
      <c r="E407" s="61"/>
      <c r="F407" s="62"/>
      <c r="G407" s="61"/>
      <c r="H407" s="68"/>
      <c r="I407" s="63"/>
      <c r="J407" s="63"/>
      <c r="K407" s="63"/>
      <c r="L407" s="63"/>
      <c r="M407" s="63"/>
      <c r="N407" s="63"/>
      <c r="O407" s="63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9.5" customHeight="1">
      <c r="B408" s="88">
        <f t="shared" si="15"/>
        <v>2.0493171296296322</v>
      </c>
      <c r="C408" s="66"/>
      <c r="D408" s="64"/>
      <c r="E408" s="61"/>
      <c r="F408" s="62"/>
      <c r="G408" s="61"/>
      <c r="H408" s="68"/>
      <c r="I408" s="63"/>
      <c r="J408" s="63"/>
      <c r="K408" s="63"/>
      <c r="L408" s="63"/>
      <c r="M408" s="63"/>
      <c r="N408" s="63"/>
      <c r="O408" s="63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9.5" customHeight="1">
      <c r="B409" s="88">
        <f t="shared" si="15"/>
        <v>2.0493171296296322</v>
      </c>
      <c r="C409" s="66"/>
      <c r="D409" s="64"/>
      <c r="E409" s="61"/>
      <c r="F409" s="62"/>
      <c r="G409" s="61"/>
      <c r="H409" s="68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9.5" customHeight="1">
      <c r="B410" s="88">
        <f t="shared" si="15"/>
        <v>2.0493171296296322</v>
      </c>
      <c r="C410" s="66"/>
      <c r="D410" s="64"/>
      <c r="E410" s="61"/>
      <c r="F410" s="62"/>
      <c r="G410" s="61"/>
      <c r="H410" s="68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9.5" customHeight="1">
      <c r="B411" s="88">
        <f t="shared" si="15"/>
        <v>2.0493171296296322</v>
      </c>
      <c r="C411" s="66"/>
      <c r="D411" s="64"/>
      <c r="E411" s="61"/>
      <c r="F411" s="62"/>
      <c r="G411" s="61"/>
      <c r="H411" s="68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9.5" customHeight="1">
      <c r="B412" s="88">
        <f t="shared" si="15"/>
        <v>2.0493171296296322</v>
      </c>
      <c r="C412" s="66"/>
      <c r="D412" s="64"/>
      <c r="E412" s="61"/>
      <c r="F412" s="62"/>
      <c r="G412" s="61"/>
      <c r="H412" s="68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9.5" customHeight="1">
      <c r="B413" s="88">
        <f t="shared" si="15"/>
        <v>2.0493171296296322</v>
      </c>
      <c r="C413" s="66"/>
      <c r="D413" s="64"/>
      <c r="E413" s="61"/>
      <c r="F413" s="62"/>
      <c r="G413" s="61"/>
      <c r="H413" s="68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9.5" customHeight="1">
      <c r="B414" s="88">
        <f t="shared" si="15"/>
        <v>2.0493171296296322</v>
      </c>
      <c r="C414" s="66"/>
      <c r="D414" s="64"/>
      <c r="E414" s="61"/>
      <c r="F414" s="62"/>
      <c r="G414" s="61"/>
      <c r="H414" s="68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9.5" customHeight="1">
      <c r="B415" s="88">
        <f t="shared" si="15"/>
        <v>2.0493171296296322</v>
      </c>
      <c r="C415" s="66"/>
      <c r="D415" s="64"/>
      <c r="E415" s="61"/>
      <c r="F415" s="62"/>
      <c r="G415" s="61"/>
      <c r="H415" s="68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9.5" customHeight="1">
      <c r="B416" s="88">
        <f t="shared" si="15"/>
        <v>2.0493171296296322</v>
      </c>
      <c r="C416" s="66"/>
      <c r="D416" s="64"/>
      <c r="E416" s="61"/>
      <c r="F416" s="62"/>
      <c r="G416" s="61"/>
      <c r="H416" s="68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2:26" ht="19.5" customHeight="1">
      <c r="B417" s="88">
        <f t="shared" si="15"/>
        <v>2.0493171296296322</v>
      </c>
      <c r="C417" s="66"/>
      <c r="D417" s="64"/>
      <c r="E417" s="61"/>
      <c r="F417" s="62"/>
      <c r="G417" s="61"/>
      <c r="H417" s="68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2:26" ht="19.5" customHeight="1">
      <c r="B418" s="88">
        <f t="shared" si="15"/>
        <v>2.0493171296296322</v>
      </c>
      <c r="C418" s="66"/>
      <c r="D418" s="64"/>
      <c r="E418" s="61"/>
      <c r="F418" s="62"/>
      <c r="G418" s="61"/>
      <c r="H418" s="68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2:26" ht="19.5" customHeight="1">
      <c r="B419" s="88">
        <f t="shared" si="15"/>
        <v>2.0493171296296322</v>
      </c>
      <c r="C419" s="66"/>
      <c r="D419" s="64"/>
      <c r="E419" s="61"/>
      <c r="F419" s="62"/>
      <c r="G419" s="61"/>
      <c r="H419" s="68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2:26" ht="19.5" customHeight="1">
      <c r="B420" s="88">
        <f t="shared" si="15"/>
        <v>2.0493171296296322</v>
      </c>
      <c r="C420" s="66"/>
      <c r="D420" s="64"/>
      <c r="E420" s="61"/>
      <c r="F420" s="62"/>
      <c r="G420" s="61"/>
      <c r="H420" s="68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2:26" ht="19.5" customHeight="1">
      <c r="B421" s="88">
        <f t="shared" si="15"/>
        <v>2.0493171296296322</v>
      </c>
      <c r="C421" s="66"/>
      <c r="D421" s="64"/>
      <c r="E421" s="61"/>
      <c r="F421" s="62"/>
      <c r="G421" s="61"/>
      <c r="H421" s="68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2:26" ht="19.5" customHeight="1">
      <c r="B422" s="88">
        <f t="shared" si="15"/>
        <v>2.0493171296296322</v>
      </c>
      <c r="C422" s="66"/>
      <c r="D422" s="64"/>
      <c r="E422" s="61"/>
      <c r="F422" s="62"/>
      <c r="G422" s="61"/>
      <c r="H422" s="68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2:26" ht="19.5" customHeight="1">
      <c r="B423" s="88">
        <f t="shared" si="15"/>
        <v>2.0493171296296322</v>
      </c>
      <c r="C423" s="66"/>
      <c r="D423" s="64"/>
      <c r="E423" s="61"/>
      <c r="F423" s="62"/>
      <c r="G423" s="61"/>
      <c r="H423" s="68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2:26" ht="19.5" customHeight="1">
      <c r="B424" s="88">
        <f t="shared" si="15"/>
        <v>2.0493171296296322</v>
      </c>
      <c r="C424" s="66"/>
      <c r="D424" s="64"/>
      <c r="E424" s="61"/>
      <c r="F424" s="62"/>
      <c r="G424" s="61"/>
      <c r="H424" s="68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2:26" ht="19.5" customHeight="1">
      <c r="B425" s="88">
        <f t="shared" si="15"/>
        <v>2.0493171296296322</v>
      </c>
      <c r="C425" s="66"/>
      <c r="D425" s="64"/>
      <c r="E425" s="61"/>
      <c r="F425" s="62"/>
      <c r="G425" s="61"/>
      <c r="H425" s="68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2:26" ht="19.5" customHeight="1">
      <c r="B426" s="88">
        <f t="shared" si="15"/>
        <v>2.0493171296296322</v>
      </c>
      <c r="C426" s="66"/>
      <c r="D426" s="64"/>
      <c r="E426" s="61"/>
      <c r="F426" s="62"/>
      <c r="G426" s="61"/>
      <c r="H426" s="68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2:26" ht="19.5" customHeight="1">
      <c r="B427" s="88">
        <f t="shared" si="15"/>
        <v>2.0493171296296322</v>
      </c>
      <c r="C427" s="66"/>
      <c r="D427" s="64"/>
      <c r="E427" s="61"/>
      <c r="F427" s="62"/>
      <c r="G427" s="61"/>
      <c r="H427" s="68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2:26" ht="19.5" customHeight="1">
      <c r="B428" s="88">
        <f t="shared" si="15"/>
        <v>2.0493171296296322</v>
      </c>
      <c r="C428" s="66"/>
      <c r="D428" s="64"/>
      <c r="E428" s="61"/>
      <c r="F428" s="62"/>
      <c r="G428" s="61"/>
      <c r="H428" s="68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2:26" ht="19.5" customHeight="1">
      <c r="B429" s="88">
        <f t="shared" si="15"/>
        <v>2.0493171296296322</v>
      </c>
      <c r="C429" s="66"/>
      <c r="D429" s="64"/>
      <c r="E429" s="61"/>
      <c r="F429" s="62"/>
      <c r="G429" s="61"/>
      <c r="H429" s="68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2:26" ht="19.5" customHeight="1">
      <c r="B430" s="88">
        <f t="shared" si="15"/>
        <v>2.0493171296296322</v>
      </c>
      <c r="C430" s="66"/>
      <c r="D430" s="64"/>
      <c r="E430" s="61"/>
      <c r="F430" s="62"/>
      <c r="G430" s="61"/>
      <c r="H430" s="68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2:26" ht="19.5" customHeight="1">
      <c r="B431" s="88">
        <f t="shared" si="15"/>
        <v>2.0493171296296322</v>
      </c>
      <c r="C431" s="66"/>
      <c r="D431" s="64"/>
      <c r="E431" s="61"/>
      <c r="F431" s="62"/>
      <c r="G431" s="61"/>
      <c r="H431" s="68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2:26" ht="19.5" customHeight="1">
      <c r="B432" s="88">
        <f t="shared" si="15"/>
        <v>2.0493171296296322</v>
      </c>
      <c r="C432" s="66"/>
      <c r="D432" s="64"/>
      <c r="E432" s="61"/>
      <c r="F432" s="62"/>
      <c r="G432" s="61"/>
      <c r="H432" s="68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2:26" ht="19.5" customHeight="1">
      <c r="B433" s="88">
        <f t="shared" si="15"/>
        <v>2.0493171296296322</v>
      </c>
      <c r="C433" s="66"/>
      <c r="D433" s="64"/>
      <c r="E433" s="61"/>
      <c r="F433" s="62"/>
      <c r="G433" s="61"/>
      <c r="H433" s="68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2:26" ht="19.5" customHeight="1">
      <c r="B434" s="88">
        <f t="shared" si="15"/>
        <v>2.0493171296296322</v>
      </c>
      <c r="C434" s="66"/>
      <c r="D434" s="64"/>
      <c r="E434" s="61"/>
      <c r="F434" s="62"/>
      <c r="G434" s="61"/>
      <c r="H434" s="68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2:26" ht="19.5" customHeight="1">
      <c r="B435" s="88">
        <f t="shared" si="15"/>
        <v>2.0493171296296322</v>
      </c>
      <c r="C435" s="66"/>
      <c r="D435" s="64"/>
      <c r="E435" s="61"/>
      <c r="F435" s="62"/>
      <c r="G435" s="61"/>
      <c r="H435" s="68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2:26" ht="19.5" customHeight="1">
      <c r="B436" s="88">
        <f t="shared" si="15"/>
        <v>2.0493171296296322</v>
      </c>
      <c r="C436" s="66"/>
      <c r="D436" s="64"/>
      <c r="E436" s="61"/>
      <c r="F436" s="62"/>
      <c r="G436" s="61"/>
      <c r="H436" s="68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2:26" ht="19.5" customHeight="1">
      <c r="B437" s="88">
        <f t="shared" si="15"/>
        <v>2.0493171296296322</v>
      </c>
      <c r="C437" s="66"/>
      <c r="D437" s="64"/>
      <c r="E437" s="61"/>
      <c r="F437" s="62"/>
      <c r="G437" s="61"/>
      <c r="H437" s="68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2:26" ht="19.5" customHeight="1">
      <c r="B438" s="88">
        <f t="shared" si="15"/>
        <v>2.0493171296296322</v>
      </c>
      <c r="C438" s="66"/>
      <c r="D438" s="64"/>
      <c r="E438" s="61"/>
      <c r="F438" s="62"/>
      <c r="G438" s="61"/>
      <c r="H438" s="68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2:26" ht="19.5" customHeight="1">
      <c r="B439" s="88">
        <f t="shared" si="15"/>
        <v>2.0493171296296322</v>
      </c>
      <c r="C439" s="66"/>
      <c r="D439" s="64"/>
      <c r="E439" s="61"/>
      <c r="F439" s="62"/>
      <c r="G439" s="61"/>
      <c r="H439" s="68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2:26" ht="19.5" customHeight="1">
      <c r="B440" s="88">
        <f t="shared" si="15"/>
        <v>2.0493171296296322</v>
      </c>
      <c r="C440" s="66"/>
      <c r="D440" s="64"/>
      <c r="E440" s="61"/>
      <c r="F440" s="62"/>
      <c r="G440" s="61"/>
      <c r="H440" s="68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2:26" ht="19.5" customHeight="1">
      <c r="B441" s="88">
        <f t="shared" si="15"/>
        <v>2.0493171296296322</v>
      </c>
      <c r="C441" s="66"/>
      <c r="D441" s="64"/>
      <c r="E441" s="61"/>
      <c r="F441" s="62"/>
      <c r="G441" s="61"/>
      <c r="H441" s="68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2:26" ht="19.5" customHeight="1">
      <c r="B442" s="88">
        <f t="shared" si="15"/>
        <v>2.0493171296296322</v>
      </c>
      <c r="C442" s="66"/>
      <c r="D442" s="64"/>
      <c r="E442" s="61"/>
      <c r="F442" s="62"/>
      <c r="G442" s="61"/>
      <c r="H442" s="68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2:26" ht="19.5" customHeight="1">
      <c r="B443" s="88">
        <f t="shared" si="15"/>
        <v>2.0493171296296322</v>
      </c>
      <c r="C443" s="66"/>
      <c r="D443" s="64"/>
      <c r="E443" s="61"/>
      <c r="F443" s="62"/>
      <c r="G443" s="61"/>
      <c r="H443" s="68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2:26" ht="19.5" customHeight="1">
      <c r="B444" s="88">
        <f t="shared" si="15"/>
        <v>2.0493171296296322</v>
      </c>
      <c r="C444" s="66"/>
      <c r="D444" s="64"/>
      <c r="E444" s="61"/>
      <c r="F444" s="62"/>
      <c r="G444" s="61"/>
      <c r="H444" s="68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2:26" ht="19.5" customHeight="1">
      <c r="B445" s="88">
        <f t="shared" si="15"/>
        <v>2.0493171296296322</v>
      </c>
      <c r="C445" s="66"/>
      <c r="D445" s="64"/>
      <c r="E445" s="61"/>
      <c r="F445" s="62"/>
      <c r="G445" s="61"/>
      <c r="H445" s="68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2:26" ht="19.5" customHeight="1">
      <c r="B446" s="88">
        <f t="shared" si="15"/>
        <v>2.0493171296296322</v>
      </c>
      <c r="C446" s="66"/>
      <c r="D446" s="64"/>
      <c r="E446" s="61"/>
      <c r="F446" s="62"/>
      <c r="G446" s="61"/>
      <c r="H446" s="68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2:26" ht="19.5" customHeight="1">
      <c r="B447" s="88">
        <f t="shared" si="15"/>
        <v>2.0493171296296322</v>
      </c>
      <c r="C447" s="66"/>
      <c r="D447" s="64"/>
      <c r="E447" s="61"/>
      <c r="F447" s="62"/>
      <c r="G447" s="61"/>
      <c r="H447" s="68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2:26" ht="19.5" customHeight="1">
      <c r="B448" s="88">
        <f t="shared" si="15"/>
        <v>2.0493171296296322</v>
      </c>
      <c r="C448" s="66"/>
      <c r="D448" s="64"/>
      <c r="E448" s="61"/>
      <c r="F448" s="62"/>
      <c r="G448" s="61"/>
      <c r="H448" s="68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2:26" ht="19.5" customHeight="1">
      <c r="B449" s="88">
        <f t="shared" si="15"/>
        <v>2.0493171296296322</v>
      </c>
      <c r="C449" s="66"/>
      <c r="D449" s="64"/>
      <c r="E449" s="61"/>
      <c r="F449" s="62"/>
      <c r="G449" s="61"/>
      <c r="H449" s="68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2:26" ht="19.5" customHeight="1">
      <c r="B450" s="88">
        <f t="shared" si="15"/>
        <v>2.0493171296296322</v>
      </c>
      <c r="C450" s="66"/>
      <c r="D450" s="64"/>
      <c r="E450" s="61"/>
      <c r="F450" s="62"/>
      <c r="G450" s="61"/>
      <c r="H450" s="68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2:26" ht="19.5" customHeight="1">
      <c r="B451" s="88">
        <f t="shared" si="15"/>
        <v>2.0493171296296322</v>
      </c>
      <c r="C451" s="66"/>
      <c r="D451" s="64"/>
      <c r="E451" s="61"/>
      <c r="F451" s="62"/>
      <c r="G451" s="61"/>
      <c r="H451" s="68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2:26" ht="19.5" customHeight="1">
      <c r="B452" s="88">
        <f t="shared" si="15"/>
        <v>2.0493171296296322</v>
      </c>
      <c r="C452" s="66"/>
      <c r="D452" s="64"/>
      <c r="E452" s="61"/>
      <c r="F452" s="62"/>
      <c r="G452" s="61"/>
      <c r="H452" s="68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2:26" ht="19.5" customHeight="1">
      <c r="B453" s="88">
        <f t="shared" ref="B453:B458" si="16">B452+F452</f>
        <v>2.0493171296296322</v>
      </c>
      <c r="C453" s="66"/>
      <c r="D453" s="64"/>
      <c r="E453" s="61"/>
      <c r="F453" s="62"/>
      <c r="G453" s="61"/>
      <c r="H453" s="68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2:26" ht="19.5" customHeight="1">
      <c r="B454" s="88">
        <f t="shared" si="16"/>
        <v>2.0493171296296322</v>
      </c>
      <c r="C454" s="66"/>
      <c r="D454" s="64"/>
      <c r="E454" s="61"/>
      <c r="F454" s="62"/>
      <c r="G454" s="61"/>
      <c r="H454" s="68"/>
      <c r="I454" s="49"/>
      <c r="J454" s="49"/>
      <c r="K454" s="49"/>
      <c r="L454" s="49"/>
      <c r="M454" s="49"/>
      <c r="N454" s="49"/>
      <c r="O454" s="49"/>
    </row>
    <row r="455" spans="2:26" ht="19.5" customHeight="1">
      <c r="B455" s="88">
        <f t="shared" si="16"/>
        <v>2.0493171296296322</v>
      </c>
      <c r="C455" s="66"/>
      <c r="D455" s="64"/>
      <c r="E455" s="61"/>
      <c r="F455" s="62"/>
      <c r="G455" s="61"/>
      <c r="H455" s="68"/>
      <c r="I455" s="49"/>
      <c r="J455" s="49"/>
      <c r="K455" s="49"/>
      <c r="L455" s="49"/>
      <c r="M455" s="49"/>
      <c r="N455" s="49"/>
      <c r="O455" s="49"/>
    </row>
    <row r="456" spans="2:26" ht="19.5" customHeight="1">
      <c r="B456" s="88">
        <f t="shared" si="16"/>
        <v>2.0493171296296322</v>
      </c>
      <c r="C456" s="66"/>
      <c r="D456" s="64"/>
      <c r="E456" s="61"/>
      <c r="F456" s="62"/>
      <c r="G456" s="61"/>
      <c r="H456" s="68"/>
      <c r="I456" s="49"/>
      <c r="J456" s="49"/>
      <c r="K456" s="49"/>
      <c r="L456" s="49"/>
      <c r="M456" s="49"/>
      <c r="N456" s="49"/>
      <c r="O456" s="49"/>
    </row>
    <row r="457" spans="2:26" ht="19.5" customHeight="1">
      <c r="B457" s="88">
        <f t="shared" si="16"/>
        <v>2.0493171296296322</v>
      </c>
      <c r="C457" s="66"/>
      <c r="D457" s="64"/>
      <c r="E457" s="61"/>
      <c r="F457" s="62"/>
      <c r="G457" s="61"/>
      <c r="H457" s="68"/>
      <c r="I457" s="49"/>
      <c r="J457" s="49"/>
      <c r="K457" s="49"/>
      <c r="L457" s="49"/>
      <c r="M457" s="49"/>
      <c r="N457" s="49"/>
      <c r="O457" s="49"/>
    </row>
    <row r="458" spans="2:26" ht="19.5" customHeight="1">
      <c r="B458" s="88">
        <f t="shared" si="16"/>
        <v>2.0493171296296322</v>
      </c>
      <c r="C458" s="66"/>
      <c r="D458" s="64"/>
      <c r="E458" s="61"/>
      <c r="F458" s="62"/>
      <c r="G458" s="61"/>
      <c r="H458" s="68"/>
      <c r="I458" s="49"/>
      <c r="J458" s="49"/>
      <c r="K458" s="49"/>
      <c r="L458" s="49"/>
      <c r="M458" s="49"/>
      <c r="N458" s="49"/>
      <c r="O458" s="49"/>
    </row>
    <row r="459" spans="2:26" ht="19.5" customHeight="1">
      <c r="B459" s="46"/>
      <c r="C459" s="66"/>
      <c r="D459" s="64"/>
      <c r="E459" s="61"/>
      <c r="F459" s="62"/>
      <c r="G459" s="61"/>
      <c r="H459" s="68"/>
      <c r="I459" s="49"/>
      <c r="J459" s="49"/>
      <c r="K459" s="49"/>
      <c r="L459" s="49"/>
      <c r="M459" s="49"/>
      <c r="N459" s="49"/>
      <c r="O459" s="49"/>
    </row>
    <row r="460" spans="2:26" ht="19.5" customHeight="1">
      <c r="B460" s="46"/>
      <c r="C460" s="66"/>
      <c r="D460" s="64"/>
      <c r="E460" s="61"/>
      <c r="F460" s="62"/>
      <c r="G460" s="61"/>
      <c r="H460" s="68"/>
      <c r="I460" s="49"/>
      <c r="J460" s="49"/>
      <c r="K460" s="49"/>
      <c r="L460" s="49"/>
      <c r="M460" s="49"/>
      <c r="N460" s="49"/>
      <c r="O460" s="49"/>
    </row>
    <row r="461" spans="2:26" ht="19.5" customHeight="1">
      <c r="B461" s="46"/>
      <c r="C461" s="66"/>
      <c r="D461" s="64"/>
      <c r="E461" s="61"/>
      <c r="F461" s="62"/>
      <c r="G461" s="61"/>
      <c r="H461" s="68"/>
      <c r="I461" s="49"/>
      <c r="J461" s="49"/>
      <c r="K461" s="49"/>
      <c r="L461" s="49"/>
      <c r="M461" s="49"/>
      <c r="N461" s="49"/>
      <c r="O461" s="49"/>
    </row>
    <row r="462" spans="2:26" ht="19.5" customHeight="1">
      <c r="B462" s="46"/>
      <c r="C462" s="66"/>
      <c r="D462" s="64"/>
      <c r="E462" s="61"/>
      <c r="F462" s="62"/>
      <c r="G462" s="61"/>
      <c r="H462" s="68"/>
      <c r="I462" s="49"/>
      <c r="J462" s="49"/>
      <c r="K462" s="49"/>
      <c r="L462" s="49"/>
      <c r="M462" s="49"/>
      <c r="N462" s="49"/>
      <c r="O462" s="49"/>
    </row>
    <row r="463" spans="2:26" ht="19.5" customHeight="1">
      <c r="B463" s="46"/>
      <c r="C463" s="66"/>
      <c r="D463" s="64"/>
      <c r="E463" s="61"/>
      <c r="F463" s="62"/>
      <c r="G463" s="61"/>
      <c r="H463" s="68"/>
      <c r="I463" s="49"/>
      <c r="J463" s="49"/>
      <c r="K463" s="49"/>
      <c r="L463" s="49"/>
      <c r="M463" s="49"/>
      <c r="N463" s="49"/>
      <c r="O463" s="49"/>
    </row>
    <row r="464" spans="2:26" ht="19.5" customHeight="1">
      <c r="B464" s="46"/>
      <c r="C464" s="66"/>
      <c r="D464" s="64"/>
      <c r="E464" s="61"/>
      <c r="F464" s="62"/>
      <c r="G464" s="61"/>
      <c r="H464" s="68"/>
      <c r="I464" s="49"/>
      <c r="J464" s="49"/>
      <c r="K464" s="49"/>
      <c r="L464" s="49"/>
      <c r="M464" s="49"/>
      <c r="N464" s="49"/>
      <c r="O464" s="49"/>
    </row>
    <row r="465" spans="2:15" ht="19.5" customHeight="1">
      <c r="B465" s="46"/>
      <c r="C465" s="66"/>
      <c r="D465" s="64"/>
      <c r="E465" s="61"/>
      <c r="F465" s="62"/>
      <c r="G465" s="61"/>
      <c r="H465" s="68"/>
      <c r="I465" s="49"/>
      <c r="J465" s="49"/>
      <c r="K465" s="49"/>
      <c r="L465" s="49"/>
      <c r="M465" s="49"/>
      <c r="N465" s="49"/>
      <c r="O465" s="49"/>
    </row>
    <row r="466" spans="2:15" ht="19.5" customHeight="1">
      <c r="B466" s="46"/>
      <c r="C466" s="66"/>
      <c r="D466" s="64"/>
      <c r="E466" s="61"/>
      <c r="F466" s="62"/>
      <c r="G466" s="61"/>
      <c r="H466" s="68"/>
      <c r="I466" s="49"/>
      <c r="J466" s="49"/>
      <c r="K466" s="49"/>
      <c r="L466" s="49"/>
      <c r="M466" s="49"/>
      <c r="N466" s="49"/>
      <c r="O466" s="49"/>
    </row>
    <row r="467" spans="2:15" ht="19.5" customHeight="1">
      <c r="B467" s="46"/>
      <c r="C467" s="66"/>
      <c r="D467" s="64"/>
      <c r="E467" s="61"/>
      <c r="F467" s="62"/>
      <c r="G467" s="61"/>
      <c r="H467" s="68"/>
      <c r="I467" s="49"/>
      <c r="J467" s="49"/>
      <c r="K467" s="49"/>
      <c r="L467" s="49"/>
      <c r="M467" s="49"/>
      <c r="N467" s="49"/>
      <c r="O467" s="49"/>
    </row>
    <row r="468" spans="2:15" ht="19.5" customHeight="1">
      <c r="B468" s="46"/>
      <c r="C468" s="66"/>
      <c r="D468" s="64"/>
      <c r="E468" s="61"/>
      <c r="F468" s="62"/>
      <c r="G468" s="61"/>
      <c r="H468" s="68"/>
      <c r="I468" s="49"/>
      <c r="J468" s="49"/>
      <c r="K468" s="49"/>
      <c r="L468" s="49"/>
      <c r="M468" s="49"/>
      <c r="N468" s="49"/>
      <c r="O468" s="49"/>
    </row>
    <row r="469" spans="2:15" ht="19.5" customHeight="1">
      <c r="B469" s="46"/>
      <c r="C469" s="66"/>
      <c r="D469" s="64"/>
      <c r="E469" s="61"/>
      <c r="F469" s="62"/>
      <c r="G469" s="61"/>
      <c r="H469" s="68"/>
      <c r="I469" s="49"/>
      <c r="J469" s="49"/>
      <c r="K469" s="49"/>
      <c r="L469" s="49"/>
      <c r="M469" s="49"/>
      <c r="N469" s="49"/>
      <c r="O469" s="49"/>
    </row>
    <row r="470" spans="2:15" ht="19.5" customHeight="1">
      <c r="B470" s="46"/>
      <c r="C470" s="66"/>
      <c r="D470" s="64"/>
      <c r="E470" s="61"/>
      <c r="F470" s="62"/>
      <c r="G470" s="61"/>
      <c r="H470" s="68"/>
      <c r="I470" s="49"/>
      <c r="J470" s="49"/>
      <c r="K470" s="49"/>
      <c r="L470" s="49"/>
      <c r="M470" s="49"/>
      <c r="N470" s="49"/>
      <c r="O470" s="49"/>
    </row>
    <row r="471" spans="2:15" ht="19.5" customHeight="1">
      <c r="B471" s="46"/>
      <c r="C471" s="66"/>
      <c r="D471" s="64"/>
      <c r="E471" s="61"/>
      <c r="F471" s="62"/>
      <c r="G471" s="61"/>
      <c r="H471" s="68"/>
      <c r="I471" s="49"/>
      <c r="J471" s="49"/>
      <c r="K471" s="49"/>
      <c r="L471" s="49"/>
      <c r="M471" s="49"/>
      <c r="N471" s="49"/>
      <c r="O471" s="49"/>
    </row>
    <row r="472" spans="2:15" ht="19.5" customHeight="1">
      <c r="B472" s="46"/>
      <c r="C472" s="66"/>
      <c r="D472" s="64"/>
      <c r="E472" s="61"/>
      <c r="F472" s="62"/>
      <c r="G472" s="61"/>
      <c r="H472" s="68"/>
      <c r="I472" s="49"/>
      <c r="J472" s="49"/>
      <c r="K472" s="49"/>
      <c r="L472" s="49"/>
      <c r="M472" s="49"/>
      <c r="N472" s="49"/>
      <c r="O472" s="49"/>
    </row>
    <row r="473" spans="2:15" ht="19.5" customHeight="1">
      <c r="B473" s="46"/>
      <c r="C473" s="66"/>
      <c r="D473" s="64"/>
      <c r="E473" s="61"/>
      <c r="F473" s="62"/>
      <c r="G473" s="61"/>
      <c r="H473" s="68"/>
      <c r="I473" s="49"/>
      <c r="J473" s="49"/>
      <c r="K473" s="49"/>
      <c r="L473" s="49"/>
      <c r="M473" s="49"/>
      <c r="N473" s="49"/>
      <c r="O473" s="49"/>
    </row>
    <row r="474" spans="2:15" ht="19.5" customHeight="1">
      <c r="B474" s="46"/>
      <c r="C474" s="66"/>
      <c r="D474" s="64"/>
      <c r="E474" s="61"/>
      <c r="F474" s="62"/>
      <c r="G474" s="61"/>
      <c r="H474" s="68"/>
      <c r="I474" s="49"/>
      <c r="J474" s="49"/>
      <c r="K474" s="49"/>
      <c r="L474" s="49"/>
      <c r="M474" s="49"/>
      <c r="N474" s="49"/>
      <c r="O474" s="49"/>
    </row>
    <row r="475" spans="2:15" ht="19.5" customHeight="1">
      <c r="B475" s="46"/>
      <c r="C475" s="66"/>
      <c r="D475" s="64"/>
      <c r="E475" s="61"/>
      <c r="F475" s="62"/>
      <c r="G475" s="61"/>
      <c r="H475" s="68"/>
      <c r="I475" s="49"/>
      <c r="J475" s="49"/>
      <c r="K475" s="49"/>
      <c r="L475" s="49"/>
      <c r="M475" s="49"/>
      <c r="N475" s="49"/>
      <c r="O475" s="49"/>
    </row>
    <row r="476" spans="2:15" ht="19.5" customHeight="1">
      <c r="B476" s="46"/>
      <c r="C476" s="66"/>
      <c r="D476" s="64"/>
      <c r="E476" s="61"/>
      <c r="F476" s="62"/>
      <c r="G476" s="61"/>
      <c r="H476" s="68"/>
      <c r="I476" s="49"/>
      <c r="J476" s="49"/>
      <c r="K476" s="49"/>
      <c r="L476" s="49"/>
      <c r="M476" s="49"/>
      <c r="N476" s="49"/>
      <c r="O476" s="49"/>
    </row>
    <row r="477" spans="2:15" ht="19.5" customHeight="1">
      <c r="B477" s="46"/>
      <c r="C477" s="66"/>
      <c r="D477" s="64"/>
      <c r="E477" s="61"/>
      <c r="F477" s="62"/>
      <c r="G477" s="61"/>
      <c r="H477" s="68"/>
      <c r="I477" s="49"/>
      <c r="J477" s="49"/>
      <c r="K477" s="49"/>
      <c r="L477" s="49"/>
      <c r="M477" s="49"/>
      <c r="N477" s="49"/>
      <c r="O477" s="49"/>
    </row>
    <row r="478" spans="2:15" ht="19.5" customHeight="1">
      <c r="B478" s="46"/>
      <c r="C478" s="66"/>
      <c r="D478" s="64"/>
      <c r="E478" s="61"/>
      <c r="F478" s="62"/>
      <c r="G478" s="61"/>
      <c r="H478" s="68"/>
      <c r="I478" s="49"/>
      <c r="J478" s="49"/>
      <c r="K478" s="49"/>
      <c r="L478" s="49"/>
      <c r="M478" s="49"/>
      <c r="N478" s="49"/>
      <c r="O478" s="49"/>
    </row>
    <row r="479" spans="2:15" ht="19.5" customHeight="1">
      <c r="B479" s="46"/>
      <c r="C479" s="66"/>
      <c r="D479" s="64"/>
      <c r="E479" s="61"/>
      <c r="F479" s="62"/>
      <c r="G479" s="61"/>
      <c r="H479" s="68"/>
      <c r="I479" s="49"/>
      <c r="J479" s="49"/>
      <c r="K479" s="49"/>
      <c r="L479" s="49"/>
      <c r="M479" s="49"/>
      <c r="N479" s="49"/>
      <c r="O479" s="49"/>
    </row>
    <row r="480" spans="2:15" ht="19.5" customHeight="1">
      <c r="B480" s="46"/>
      <c r="C480" s="66"/>
      <c r="D480" s="64"/>
      <c r="E480" s="61"/>
      <c r="F480" s="62"/>
      <c r="G480" s="61"/>
      <c r="H480" s="68"/>
      <c r="I480" s="49"/>
      <c r="J480" s="49"/>
      <c r="K480" s="49"/>
      <c r="L480" s="49"/>
      <c r="M480" s="49"/>
      <c r="N480" s="49"/>
      <c r="O480" s="49"/>
    </row>
    <row r="481" spans="2:15" ht="19.5" customHeight="1">
      <c r="B481" s="46"/>
      <c r="C481" s="66"/>
      <c r="D481" s="64"/>
      <c r="E481" s="61"/>
      <c r="F481" s="62"/>
      <c r="G481" s="61"/>
      <c r="H481" s="68"/>
      <c r="I481" s="49"/>
      <c r="J481" s="49"/>
      <c r="K481" s="49"/>
      <c r="L481" s="49"/>
      <c r="M481" s="49"/>
      <c r="N481" s="49"/>
      <c r="O481" s="49"/>
    </row>
    <row r="482" spans="2:15" ht="19.5" customHeight="1">
      <c r="B482" s="46"/>
      <c r="C482" s="66"/>
      <c r="D482" s="64"/>
      <c r="E482" s="61"/>
      <c r="F482" s="62"/>
      <c r="G482" s="61"/>
      <c r="H482" s="68"/>
      <c r="I482" s="49"/>
      <c r="J482" s="49"/>
      <c r="K482" s="49"/>
      <c r="L482" s="49"/>
      <c r="M482" s="49"/>
      <c r="N482" s="49"/>
      <c r="O482" s="49"/>
    </row>
    <row r="483" spans="2:15" ht="19.5" customHeight="1">
      <c r="B483" s="46"/>
      <c r="C483" s="66"/>
      <c r="D483" s="64"/>
      <c r="E483" s="61"/>
      <c r="F483" s="62"/>
      <c r="G483" s="61"/>
      <c r="H483" s="68"/>
      <c r="I483" s="49"/>
      <c r="J483" s="49"/>
      <c r="K483" s="49"/>
      <c r="L483" s="49"/>
      <c r="M483" s="49"/>
      <c r="N483" s="49"/>
      <c r="O483" s="49"/>
    </row>
    <row r="484" spans="2:15" ht="19.5" customHeight="1">
      <c r="B484" s="46"/>
      <c r="C484" s="66"/>
      <c r="D484" s="64"/>
      <c r="E484" s="61"/>
      <c r="F484" s="62"/>
      <c r="G484" s="61"/>
      <c r="H484" s="68"/>
      <c r="I484" s="49"/>
      <c r="J484" s="49"/>
      <c r="K484" s="49"/>
      <c r="L484" s="49"/>
      <c r="M484" s="49"/>
      <c r="N484" s="49"/>
      <c r="O484" s="49"/>
    </row>
    <row r="485" spans="2:15" ht="19.5" customHeight="1">
      <c r="B485" s="46"/>
      <c r="C485" s="66"/>
      <c r="D485" s="64"/>
      <c r="E485" s="61"/>
      <c r="F485" s="62"/>
      <c r="G485" s="61"/>
      <c r="H485" s="68"/>
      <c r="I485" s="49"/>
      <c r="J485" s="49"/>
      <c r="K485" s="49"/>
      <c r="L485" s="49"/>
      <c r="M485" s="49"/>
      <c r="N485" s="49"/>
      <c r="O485" s="49"/>
    </row>
    <row r="486" spans="2:15" ht="19.5" customHeight="1">
      <c r="B486" s="46"/>
      <c r="C486" s="66"/>
      <c r="D486" s="64"/>
      <c r="E486" s="61"/>
      <c r="F486" s="62"/>
      <c r="G486" s="61"/>
      <c r="H486" s="68"/>
      <c r="I486" s="49"/>
      <c r="J486" s="49"/>
      <c r="K486" s="49"/>
      <c r="L486" s="49"/>
      <c r="M486" s="49"/>
      <c r="N486" s="49"/>
      <c r="O486" s="49"/>
    </row>
    <row r="487" spans="2:15" ht="19.5" customHeight="1">
      <c r="B487" s="46"/>
      <c r="C487" s="66"/>
      <c r="D487" s="64"/>
      <c r="E487" s="61"/>
      <c r="F487" s="62"/>
      <c r="G487" s="61"/>
      <c r="H487" s="68"/>
      <c r="I487" s="49"/>
      <c r="J487" s="49"/>
      <c r="K487" s="49"/>
      <c r="L487" s="49"/>
      <c r="M487" s="49"/>
      <c r="N487" s="49"/>
      <c r="O487" s="49"/>
    </row>
    <row r="488" spans="2:15" ht="19.5" customHeight="1">
      <c r="B488" s="46"/>
      <c r="C488" s="66"/>
      <c r="D488" s="64"/>
      <c r="E488" s="61"/>
      <c r="F488" s="62"/>
      <c r="G488" s="61"/>
      <c r="H488" s="68"/>
      <c r="I488" s="49"/>
      <c r="J488" s="49"/>
      <c r="K488" s="49"/>
      <c r="L488" s="49"/>
      <c r="M488" s="49"/>
      <c r="N488" s="49"/>
      <c r="O488" s="49"/>
    </row>
    <row r="489" spans="2:15" ht="19.5" customHeight="1">
      <c r="B489" s="46"/>
      <c r="C489" s="66"/>
      <c r="D489" s="64"/>
      <c r="E489" s="61"/>
      <c r="F489" s="62"/>
      <c r="G489" s="61"/>
      <c r="H489" s="68"/>
      <c r="I489" s="49"/>
      <c r="J489" s="49"/>
      <c r="K489" s="49"/>
      <c r="L489" s="49"/>
      <c r="M489" s="49"/>
      <c r="N489" s="49"/>
      <c r="O489" s="49"/>
    </row>
    <row r="490" spans="2:15" ht="19.5" customHeight="1">
      <c r="B490" s="46"/>
      <c r="C490" s="66"/>
      <c r="D490" s="64"/>
      <c r="E490" s="61"/>
      <c r="F490" s="62"/>
      <c r="G490" s="61"/>
      <c r="H490" s="68"/>
      <c r="I490" s="49"/>
      <c r="J490" s="49"/>
      <c r="K490" s="49"/>
      <c r="L490" s="49"/>
      <c r="M490" s="49"/>
      <c r="N490" s="49"/>
      <c r="O490" s="49"/>
    </row>
    <row r="491" spans="2:15" ht="19.5" customHeight="1">
      <c r="B491" s="46"/>
      <c r="C491" s="66"/>
      <c r="D491" s="64"/>
      <c r="E491" s="61"/>
      <c r="F491" s="62"/>
      <c r="G491" s="61"/>
      <c r="H491" s="68"/>
      <c r="I491" s="49"/>
      <c r="J491" s="49"/>
      <c r="K491" s="49"/>
      <c r="L491" s="49"/>
      <c r="M491" s="49"/>
      <c r="N491" s="49"/>
      <c r="O491" s="49"/>
    </row>
    <row r="492" spans="2:15" ht="19.5" customHeight="1">
      <c r="B492" s="46"/>
      <c r="C492" s="66"/>
      <c r="D492" s="64"/>
      <c r="E492" s="61"/>
      <c r="F492" s="62"/>
      <c r="G492" s="61"/>
      <c r="H492" s="68"/>
      <c r="I492" s="49"/>
      <c r="J492" s="49"/>
      <c r="K492" s="49"/>
      <c r="L492" s="49"/>
      <c r="M492" s="49"/>
      <c r="N492" s="49"/>
      <c r="O492" s="49"/>
    </row>
    <row r="493" spans="2:15" ht="19.5" customHeight="1">
      <c r="B493" s="46"/>
      <c r="C493" s="66"/>
      <c r="D493" s="64"/>
      <c r="E493" s="61"/>
      <c r="F493" s="62"/>
      <c r="G493" s="61"/>
      <c r="H493" s="68"/>
      <c r="I493" s="49"/>
      <c r="J493" s="49"/>
      <c r="K493" s="49"/>
      <c r="L493" s="49"/>
      <c r="M493" s="49"/>
      <c r="N493" s="49"/>
      <c r="O493" s="49"/>
    </row>
    <row r="494" spans="2:15" ht="19.5" customHeight="1">
      <c r="B494" s="46"/>
      <c r="C494" s="66"/>
      <c r="D494" s="64"/>
      <c r="E494" s="61"/>
      <c r="F494" s="62"/>
      <c r="G494" s="61"/>
      <c r="H494" s="68"/>
      <c r="I494" s="49"/>
      <c r="J494" s="49"/>
      <c r="K494" s="49"/>
      <c r="L494" s="49"/>
      <c r="M494" s="49"/>
      <c r="N494" s="49"/>
      <c r="O494" s="49"/>
    </row>
    <row r="495" spans="2:15" ht="19.5" customHeight="1">
      <c r="B495" s="46"/>
      <c r="C495" s="66"/>
      <c r="D495" s="64"/>
      <c r="E495" s="61"/>
      <c r="F495" s="62"/>
      <c r="G495" s="61"/>
      <c r="H495" s="68"/>
      <c r="I495" s="49"/>
      <c r="J495" s="49"/>
      <c r="K495" s="49"/>
      <c r="L495" s="49"/>
      <c r="M495" s="49"/>
      <c r="N495" s="49"/>
      <c r="O495" s="49"/>
    </row>
    <row r="496" spans="2:15" ht="19.5" customHeight="1">
      <c r="B496" s="46"/>
      <c r="C496" s="66"/>
      <c r="D496" s="64"/>
      <c r="E496" s="61"/>
      <c r="F496" s="62"/>
      <c r="G496" s="61"/>
      <c r="H496" s="68"/>
      <c r="I496" s="49"/>
      <c r="J496" s="49"/>
      <c r="K496" s="49"/>
      <c r="L496" s="49"/>
      <c r="M496" s="49"/>
      <c r="N496" s="49"/>
      <c r="O496" s="49"/>
    </row>
    <row r="497" spans="2:15" ht="19.5" customHeight="1">
      <c r="B497" s="46"/>
      <c r="C497" s="66"/>
      <c r="D497" s="64"/>
      <c r="E497" s="61"/>
      <c r="F497" s="62"/>
      <c r="G497" s="61"/>
      <c r="H497" s="68"/>
      <c r="I497" s="49"/>
      <c r="J497" s="49"/>
      <c r="K497" s="49"/>
      <c r="L497" s="49"/>
      <c r="M497" s="49"/>
      <c r="N497" s="49"/>
      <c r="O497" s="49"/>
    </row>
    <row r="498" spans="2:15" ht="19.5" customHeight="1">
      <c r="B498" s="46"/>
      <c r="C498" s="66"/>
      <c r="D498" s="64"/>
      <c r="E498" s="61"/>
      <c r="F498" s="62"/>
      <c r="G498" s="61"/>
      <c r="H498" s="68"/>
      <c r="I498" s="49"/>
      <c r="J498" s="49"/>
      <c r="K498" s="49"/>
      <c r="L498" s="49"/>
      <c r="M498" s="49"/>
      <c r="N498" s="49"/>
      <c r="O498" s="49"/>
    </row>
    <row r="499" spans="2:15" ht="19.5" customHeight="1">
      <c r="B499" s="46"/>
      <c r="C499" s="66"/>
      <c r="D499" s="64"/>
      <c r="E499" s="61"/>
      <c r="F499" s="62"/>
      <c r="G499" s="61"/>
      <c r="H499" s="68"/>
      <c r="I499" s="49"/>
      <c r="J499" s="49"/>
      <c r="K499" s="49"/>
      <c r="L499" s="49"/>
      <c r="M499" s="49"/>
      <c r="N499" s="49"/>
      <c r="O499" s="49"/>
    </row>
    <row r="500" spans="2:15" ht="19.5" customHeight="1">
      <c r="B500" s="46"/>
      <c r="C500" s="66"/>
      <c r="D500" s="64"/>
      <c r="E500" s="61"/>
      <c r="F500" s="62"/>
      <c r="G500" s="61"/>
      <c r="H500" s="68"/>
      <c r="I500" s="49"/>
      <c r="J500" s="49"/>
      <c r="K500" s="49"/>
      <c r="L500" s="49"/>
      <c r="M500" s="49"/>
      <c r="N500" s="49"/>
      <c r="O500" s="49"/>
    </row>
    <row r="501" spans="2:15" ht="19.5" customHeight="1">
      <c r="B501" s="46"/>
      <c r="C501" s="66"/>
      <c r="D501" s="64"/>
      <c r="E501" s="61"/>
      <c r="F501" s="62"/>
      <c r="G501" s="61"/>
      <c r="H501" s="68"/>
      <c r="I501" s="49"/>
      <c r="J501" s="49"/>
      <c r="K501" s="49"/>
      <c r="L501" s="49"/>
      <c r="M501" s="49"/>
      <c r="N501" s="49"/>
      <c r="O501" s="49"/>
    </row>
    <row r="502" spans="2:15" ht="19.5" customHeight="1">
      <c r="B502" s="46"/>
      <c r="C502" s="66"/>
      <c r="D502" s="64"/>
      <c r="E502" s="61"/>
      <c r="F502" s="62"/>
      <c r="G502" s="61"/>
      <c r="H502" s="68"/>
      <c r="I502" s="49"/>
      <c r="J502" s="49"/>
      <c r="K502" s="49"/>
      <c r="L502" s="49"/>
      <c r="M502" s="49"/>
      <c r="N502" s="49"/>
      <c r="O502" s="49"/>
    </row>
    <row r="503" spans="2:15" ht="19.5" customHeight="1">
      <c r="B503" s="46"/>
      <c r="C503" s="66"/>
      <c r="D503" s="64"/>
      <c r="E503" s="61"/>
      <c r="F503" s="62"/>
      <c r="G503" s="61"/>
      <c r="H503" s="68"/>
      <c r="I503" s="49"/>
      <c r="J503" s="49"/>
      <c r="K503" s="49"/>
      <c r="L503" s="49"/>
      <c r="M503" s="49"/>
      <c r="N503" s="49"/>
      <c r="O503" s="49"/>
    </row>
    <row r="504" spans="2:15" ht="19.5" customHeight="1">
      <c r="B504" s="46"/>
      <c r="C504" s="66"/>
      <c r="D504" s="64"/>
      <c r="E504" s="61"/>
      <c r="F504" s="62"/>
      <c r="G504" s="61"/>
      <c r="H504" s="68"/>
      <c r="I504" s="49"/>
      <c r="J504" s="49"/>
      <c r="K504" s="49"/>
      <c r="L504" s="49"/>
      <c r="M504" s="49"/>
      <c r="N504" s="49"/>
      <c r="O504" s="49"/>
    </row>
    <row r="505" spans="2:15" ht="19.5" customHeight="1">
      <c r="B505" s="46"/>
      <c r="C505" s="66"/>
      <c r="D505" s="64"/>
      <c r="E505" s="61"/>
      <c r="F505" s="62"/>
      <c r="G505" s="61"/>
      <c r="H505" s="68"/>
      <c r="I505" s="49"/>
      <c r="J505" s="49"/>
      <c r="K505" s="49"/>
      <c r="L505" s="49"/>
      <c r="M505" s="49"/>
      <c r="N505" s="49"/>
      <c r="O505" s="49"/>
    </row>
    <row r="506" spans="2:15" ht="19.5" customHeight="1">
      <c r="B506" s="46"/>
      <c r="C506" s="66"/>
      <c r="D506" s="64"/>
      <c r="E506" s="61"/>
      <c r="F506" s="62"/>
      <c r="G506" s="61"/>
      <c r="H506" s="68"/>
      <c r="I506" s="49"/>
      <c r="J506" s="49"/>
      <c r="K506" s="49"/>
      <c r="L506" s="49"/>
      <c r="M506" s="49"/>
      <c r="N506" s="49"/>
      <c r="O506" s="49"/>
    </row>
    <row r="507" spans="2:15" ht="19.5" customHeight="1">
      <c r="B507" s="46"/>
      <c r="C507" s="66"/>
      <c r="D507" s="64"/>
      <c r="E507" s="61"/>
      <c r="F507" s="62"/>
      <c r="G507" s="61"/>
      <c r="H507" s="68"/>
      <c r="I507" s="49"/>
      <c r="J507" s="49"/>
      <c r="K507" s="49"/>
      <c r="L507" s="49"/>
      <c r="M507" s="49"/>
      <c r="N507" s="49"/>
      <c r="O507" s="49"/>
    </row>
    <row r="508" spans="2:15" ht="19.5" customHeight="1">
      <c r="B508" s="46"/>
      <c r="C508" s="66"/>
      <c r="D508" s="64"/>
      <c r="E508" s="61"/>
      <c r="F508" s="62"/>
      <c r="G508" s="61"/>
      <c r="H508" s="68"/>
      <c r="I508" s="49"/>
      <c r="J508" s="49"/>
      <c r="K508" s="49"/>
      <c r="L508" s="49"/>
      <c r="M508" s="49"/>
      <c r="N508" s="49"/>
      <c r="O508" s="49"/>
    </row>
    <row r="509" spans="2:15" ht="19.5" customHeight="1">
      <c r="B509" s="46"/>
      <c r="C509" s="66"/>
      <c r="D509" s="64"/>
      <c r="E509" s="61"/>
      <c r="F509" s="62"/>
      <c r="G509" s="61"/>
      <c r="H509" s="68"/>
      <c r="I509" s="49"/>
      <c r="J509" s="49"/>
      <c r="K509" s="49"/>
      <c r="L509" s="49"/>
      <c r="M509" s="49"/>
      <c r="N509" s="49"/>
      <c r="O509" s="49"/>
    </row>
    <row r="510" spans="2:15" ht="19.5" customHeight="1">
      <c r="B510" s="46"/>
      <c r="C510" s="66"/>
      <c r="D510" s="64"/>
      <c r="E510" s="61"/>
      <c r="F510" s="62"/>
      <c r="G510" s="61"/>
      <c r="H510" s="68"/>
      <c r="I510" s="49"/>
      <c r="J510" s="49"/>
      <c r="K510" s="49"/>
      <c r="L510" s="49"/>
      <c r="M510" s="49"/>
      <c r="N510" s="49"/>
      <c r="O510" s="49"/>
    </row>
    <row r="511" spans="2:15" ht="19.5" customHeight="1">
      <c r="B511" s="46"/>
      <c r="C511" s="66"/>
      <c r="D511" s="64"/>
      <c r="E511" s="61"/>
      <c r="F511" s="62"/>
      <c r="G511" s="61"/>
      <c r="H511" s="68"/>
      <c r="I511" s="49"/>
      <c r="J511" s="49"/>
      <c r="K511" s="49"/>
      <c r="L511" s="49"/>
      <c r="M511" s="49"/>
      <c r="N511" s="49"/>
      <c r="O511" s="49"/>
    </row>
    <row r="512" spans="2:15" ht="19.5" customHeight="1">
      <c r="B512" s="46"/>
      <c r="C512" s="66"/>
      <c r="D512" s="64"/>
      <c r="E512" s="61"/>
      <c r="F512" s="62"/>
      <c r="G512" s="61"/>
      <c r="H512" s="68"/>
      <c r="I512" s="49"/>
      <c r="J512" s="49"/>
      <c r="K512" s="49"/>
      <c r="L512" s="49"/>
      <c r="M512" s="49"/>
      <c r="N512" s="49"/>
      <c r="O512" s="49"/>
    </row>
    <row r="513" spans="2:15" ht="19.5" customHeight="1">
      <c r="B513" s="46"/>
      <c r="C513" s="66"/>
      <c r="D513" s="64"/>
      <c r="E513" s="61"/>
      <c r="F513" s="62"/>
      <c r="G513" s="61"/>
      <c r="H513" s="68"/>
      <c r="I513" s="49"/>
      <c r="J513" s="49"/>
      <c r="K513" s="49"/>
      <c r="L513" s="49"/>
      <c r="M513" s="49"/>
      <c r="N513" s="49"/>
      <c r="O513" s="49"/>
    </row>
    <row r="514" spans="2:15" ht="19.5" customHeight="1">
      <c r="B514" s="46"/>
      <c r="C514" s="66"/>
      <c r="D514" s="64"/>
      <c r="E514" s="61"/>
      <c r="F514" s="62"/>
      <c r="G514" s="61"/>
      <c r="H514" s="68"/>
      <c r="I514" s="49"/>
      <c r="J514" s="49"/>
      <c r="K514" s="49"/>
      <c r="L514" s="49"/>
      <c r="M514" s="49"/>
      <c r="N514" s="49"/>
      <c r="O514" s="49"/>
    </row>
    <row r="515" spans="2:15" ht="19.5" customHeight="1">
      <c r="B515" s="46"/>
      <c r="C515" s="66"/>
      <c r="D515" s="64"/>
      <c r="E515" s="61"/>
      <c r="F515" s="62"/>
      <c r="G515" s="61"/>
      <c r="H515" s="68"/>
      <c r="I515" s="49"/>
      <c r="J515" s="49"/>
      <c r="K515" s="49"/>
      <c r="L515" s="49"/>
      <c r="M515" s="49"/>
      <c r="N515" s="49"/>
      <c r="O515" s="49"/>
    </row>
    <row r="516" spans="2:15" ht="19.5" customHeight="1">
      <c r="B516" s="46"/>
      <c r="C516" s="66"/>
      <c r="D516" s="64"/>
      <c r="E516" s="61"/>
      <c r="F516" s="62"/>
      <c r="G516" s="61"/>
      <c r="H516" s="68"/>
      <c r="I516" s="49"/>
      <c r="J516" s="49"/>
      <c r="K516" s="49"/>
      <c r="L516" s="49"/>
      <c r="M516" s="49"/>
      <c r="N516" s="49"/>
      <c r="O516" s="49"/>
    </row>
    <row r="517" spans="2:15" ht="19.5" customHeight="1">
      <c r="B517" s="46"/>
      <c r="C517" s="66"/>
      <c r="D517" s="64"/>
      <c r="E517" s="61"/>
      <c r="F517" s="62"/>
      <c r="G517" s="61"/>
      <c r="H517" s="68"/>
      <c r="I517" s="49"/>
      <c r="J517" s="49"/>
      <c r="K517" s="49"/>
      <c r="L517" s="49"/>
      <c r="M517" s="49"/>
      <c r="N517" s="49"/>
      <c r="O517" s="49"/>
    </row>
    <row r="518" spans="2:15" ht="19.5" customHeight="1">
      <c r="B518" s="46"/>
      <c r="C518" s="66"/>
      <c r="D518" s="64"/>
      <c r="E518" s="61"/>
      <c r="F518" s="62"/>
      <c r="G518" s="61"/>
      <c r="H518" s="68"/>
      <c r="I518" s="49"/>
      <c r="J518" s="49"/>
      <c r="K518" s="49"/>
      <c r="L518" s="49"/>
      <c r="M518" s="49"/>
      <c r="N518" s="49"/>
      <c r="O518" s="49"/>
    </row>
    <row r="519" spans="2:15" ht="19.5" customHeight="1">
      <c r="B519" s="46"/>
      <c r="C519" s="66"/>
      <c r="D519" s="64"/>
      <c r="E519" s="61"/>
      <c r="F519" s="62"/>
      <c r="G519" s="61"/>
      <c r="H519" s="68"/>
      <c r="I519" s="49"/>
      <c r="J519" s="49"/>
      <c r="K519" s="49"/>
      <c r="L519" s="49"/>
      <c r="M519" s="49"/>
      <c r="N519" s="49"/>
      <c r="O519" s="49"/>
    </row>
    <row r="520" spans="2:15" ht="19.5" customHeight="1">
      <c r="B520" s="46"/>
      <c r="C520" s="66"/>
      <c r="D520" s="64"/>
      <c r="E520" s="61"/>
      <c r="F520" s="62"/>
      <c r="G520" s="61"/>
      <c r="H520" s="68"/>
      <c r="I520" s="49"/>
      <c r="J520" s="49"/>
      <c r="K520" s="49"/>
      <c r="L520" s="49"/>
      <c r="M520" s="49"/>
      <c r="N520" s="49"/>
      <c r="O520" s="49"/>
    </row>
    <row r="521" spans="2:15" ht="19.5" customHeight="1">
      <c r="B521" s="46"/>
      <c r="C521" s="66"/>
      <c r="D521" s="64"/>
      <c r="E521" s="61"/>
      <c r="F521" s="62"/>
      <c r="G521" s="61"/>
      <c r="H521" s="68"/>
      <c r="I521" s="49"/>
      <c r="J521" s="49"/>
      <c r="K521" s="49"/>
      <c r="L521" s="49"/>
      <c r="M521" s="49"/>
      <c r="N521" s="49"/>
      <c r="O521" s="49"/>
    </row>
    <row r="522" spans="2:15" ht="19.5" customHeight="1">
      <c r="B522" s="46"/>
      <c r="C522" s="66"/>
      <c r="D522" s="64"/>
      <c r="E522" s="61"/>
      <c r="F522" s="62"/>
      <c r="G522" s="61"/>
      <c r="H522" s="68"/>
      <c r="I522" s="49"/>
      <c r="J522" s="49"/>
      <c r="K522" s="49"/>
      <c r="L522" s="49"/>
      <c r="M522" s="49"/>
      <c r="N522" s="49"/>
      <c r="O522" s="49"/>
    </row>
    <row r="523" spans="2:15" ht="19.5" customHeight="1">
      <c r="B523" s="46"/>
      <c r="C523" s="66"/>
      <c r="D523" s="64"/>
      <c r="E523" s="61"/>
      <c r="F523" s="62"/>
      <c r="G523" s="61"/>
      <c r="H523" s="68"/>
      <c r="I523" s="49"/>
      <c r="J523" s="49"/>
      <c r="K523" s="49"/>
      <c r="L523" s="49"/>
      <c r="M523" s="49"/>
      <c r="N523" s="49"/>
      <c r="O523" s="49"/>
    </row>
    <row r="524" spans="2:15" ht="19.5" customHeight="1">
      <c r="B524" s="46"/>
      <c r="C524" s="66"/>
      <c r="D524" s="64"/>
      <c r="E524" s="61"/>
      <c r="F524" s="62"/>
      <c r="G524" s="61"/>
      <c r="H524" s="68"/>
      <c r="I524" s="49"/>
      <c r="J524" s="49"/>
      <c r="K524" s="49"/>
      <c r="L524" s="49"/>
      <c r="M524" s="49"/>
      <c r="N524" s="49"/>
      <c r="O524" s="49"/>
    </row>
    <row r="525" spans="2:15" ht="19.5" customHeight="1">
      <c r="C525" s="66"/>
      <c r="D525" s="64"/>
      <c r="E525" s="61"/>
      <c r="F525" s="62"/>
      <c r="G525" s="61"/>
      <c r="H525" s="68"/>
      <c r="I525" s="49"/>
      <c r="J525" s="49"/>
      <c r="K525" s="49"/>
      <c r="L525" s="49"/>
      <c r="M525" s="49"/>
      <c r="N525" s="49"/>
      <c r="O525" s="49"/>
    </row>
    <row r="526" spans="2:15" ht="19.5" customHeight="1">
      <c r="C526" s="66"/>
      <c r="D526" s="64"/>
      <c r="E526" s="61"/>
      <c r="F526" s="62"/>
      <c r="G526" s="61"/>
      <c r="H526" s="68"/>
      <c r="I526" s="49"/>
      <c r="J526" s="49"/>
      <c r="K526" s="49"/>
      <c r="L526" s="49"/>
      <c r="M526" s="49"/>
      <c r="N526" s="49"/>
      <c r="O526" s="49"/>
    </row>
    <row r="527" spans="2:15" ht="19.5" customHeight="1">
      <c r="C527" s="66"/>
      <c r="D527" s="64"/>
      <c r="E527" s="61"/>
      <c r="F527" s="62"/>
      <c r="G527" s="61"/>
      <c r="H527" s="68"/>
      <c r="I527" s="49"/>
      <c r="J527" s="49"/>
      <c r="K527" s="49"/>
      <c r="L527" s="49"/>
      <c r="M527" s="49"/>
      <c r="N527" s="49"/>
      <c r="O527" s="49"/>
    </row>
    <row r="528" spans="2:15" ht="19.5" customHeight="1">
      <c r="C528" s="66"/>
      <c r="D528" s="64"/>
      <c r="E528" s="61"/>
      <c r="F528" s="62"/>
      <c r="G528" s="61"/>
      <c r="H528" s="68"/>
      <c r="I528" s="49"/>
      <c r="J528" s="49"/>
      <c r="K528" s="49"/>
      <c r="L528" s="49"/>
      <c r="M528" s="49"/>
      <c r="N528" s="49"/>
      <c r="O528" s="49"/>
    </row>
    <row r="529" spans="3:15" ht="19.5" customHeight="1">
      <c r="C529" s="66"/>
      <c r="D529" s="64"/>
      <c r="E529" s="61"/>
      <c r="F529" s="62"/>
      <c r="G529" s="61"/>
      <c r="H529" s="68"/>
      <c r="I529" s="49"/>
      <c r="J529" s="49"/>
      <c r="K529" s="49"/>
      <c r="L529" s="49"/>
      <c r="M529" s="49"/>
      <c r="N529" s="49"/>
      <c r="O529" s="49"/>
    </row>
    <row r="530" spans="3:15" ht="19.5" customHeight="1">
      <c r="C530" s="66"/>
      <c r="D530" s="64"/>
      <c r="E530" s="61"/>
      <c r="F530" s="62"/>
      <c r="G530" s="61"/>
      <c r="H530" s="68"/>
      <c r="I530" s="49"/>
      <c r="J530" s="49"/>
      <c r="K530" s="49"/>
      <c r="L530" s="49"/>
      <c r="M530" s="49"/>
      <c r="N530" s="49"/>
      <c r="O530" s="49"/>
    </row>
    <row r="531" spans="3:15" ht="19.5" customHeight="1">
      <c r="C531" s="66"/>
      <c r="D531" s="64"/>
      <c r="E531" s="61"/>
      <c r="F531" s="62"/>
      <c r="G531" s="61"/>
      <c r="H531" s="68"/>
      <c r="I531" s="49"/>
      <c r="J531" s="49"/>
      <c r="K531" s="49"/>
      <c r="L531" s="49"/>
      <c r="M531" s="49"/>
      <c r="N531" s="49"/>
      <c r="O531" s="49"/>
    </row>
    <row r="532" spans="3:15" ht="19.5" customHeight="1">
      <c r="C532" s="66"/>
      <c r="D532" s="64"/>
      <c r="E532" s="61"/>
      <c r="F532" s="62"/>
      <c r="G532" s="61"/>
      <c r="H532" s="68"/>
      <c r="I532" s="49"/>
      <c r="J532" s="49"/>
      <c r="K532" s="49"/>
      <c r="L532" s="49"/>
      <c r="M532" s="49"/>
      <c r="N532" s="49"/>
      <c r="O532" s="49"/>
    </row>
    <row r="533" spans="3:15" ht="19.5" customHeight="1">
      <c r="C533" s="66"/>
      <c r="D533" s="64"/>
      <c r="E533" s="61"/>
      <c r="F533" s="62"/>
      <c r="G533" s="61"/>
      <c r="H533" s="68"/>
      <c r="I533" s="49"/>
      <c r="J533" s="49"/>
      <c r="K533" s="49"/>
      <c r="L533" s="49"/>
      <c r="M533" s="49"/>
      <c r="N533" s="49"/>
      <c r="O533" s="49"/>
    </row>
    <row r="534" spans="3:15" ht="19.5" customHeight="1">
      <c r="C534" s="66"/>
      <c r="D534" s="64"/>
      <c r="E534" s="61"/>
      <c r="F534" s="62"/>
      <c r="G534" s="61"/>
      <c r="H534" s="68"/>
      <c r="I534" s="49"/>
      <c r="J534" s="49"/>
      <c r="K534" s="49"/>
      <c r="L534" s="49"/>
      <c r="M534" s="49"/>
      <c r="N534" s="49"/>
      <c r="O534" s="49"/>
    </row>
    <row r="535" spans="3:15" ht="19.5" customHeight="1">
      <c r="C535" s="66"/>
      <c r="D535" s="64"/>
      <c r="E535" s="61"/>
      <c r="F535" s="62"/>
      <c r="G535" s="61"/>
      <c r="H535" s="68"/>
      <c r="I535" s="49"/>
      <c r="J535" s="49"/>
      <c r="K535" s="49"/>
      <c r="L535" s="49"/>
      <c r="M535" s="49"/>
      <c r="N535" s="49"/>
      <c r="O535" s="49"/>
    </row>
    <row r="536" spans="3:15" ht="19.5" customHeight="1">
      <c r="C536" s="66"/>
      <c r="D536" s="64"/>
      <c r="E536" s="61"/>
      <c r="F536" s="62"/>
      <c r="G536" s="61"/>
      <c r="H536" s="68"/>
      <c r="I536" s="49"/>
      <c r="J536" s="49"/>
      <c r="K536" s="49"/>
      <c r="L536" s="49"/>
      <c r="M536" s="49"/>
      <c r="N536" s="49"/>
      <c r="O536" s="49"/>
    </row>
    <row r="537" spans="3:15" ht="19.5" customHeight="1">
      <c r="C537" s="66"/>
      <c r="D537" s="64"/>
      <c r="E537" s="61"/>
      <c r="F537" s="62"/>
      <c r="G537" s="61"/>
      <c r="H537" s="68"/>
      <c r="I537" s="49"/>
      <c r="J537" s="49"/>
      <c r="K537" s="49"/>
      <c r="L537" s="49"/>
      <c r="M537" s="49"/>
      <c r="N537" s="49"/>
      <c r="O537" s="49"/>
    </row>
    <row r="538" spans="3:15" ht="19.5" customHeight="1">
      <c r="C538" s="66"/>
      <c r="D538" s="64"/>
      <c r="E538" s="61"/>
      <c r="F538" s="62"/>
      <c r="G538" s="61"/>
      <c r="H538" s="68"/>
      <c r="I538" s="49"/>
      <c r="J538" s="49"/>
      <c r="K538" s="49"/>
      <c r="L538" s="49"/>
      <c r="M538" s="49"/>
      <c r="N538" s="49"/>
      <c r="O538" s="49"/>
    </row>
    <row r="539" spans="3:15" ht="19.5" customHeight="1">
      <c r="C539" s="66"/>
      <c r="D539" s="64"/>
      <c r="E539" s="61"/>
      <c r="F539" s="62"/>
      <c r="G539" s="61"/>
      <c r="H539" s="68"/>
      <c r="I539" s="49"/>
      <c r="J539" s="49"/>
      <c r="K539" s="49"/>
      <c r="L539" s="49"/>
      <c r="M539" s="49"/>
      <c r="N539" s="49"/>
      <c r="O539" s="49"/>
    </row>
    <row r="540" spans="3:15" ht="19.5" customHeight="1">
      <c r="C540" s="66"/>
      <c r="D540" s="64"/>
      <c r="E540" s="61"/>
      <c r="F540" s="62"/>
      <c r="G540" s="61"/>
      <c r="H540" s="68"/>
      <c r="I540" s="49"/>
      <c r="J540" s="49"/>
      <c r="K540" s="49"/>
      <c r="L540" s="49"/>
      <c r="M540" s="49"/>
      <c r="N540" s="49"/>
      <c r="O540" s="49"/>
    </row>
    <row r="541" spans="3:15" ht="19.5" customHeight="1">
      <c r="C541" s="66"/>
      <c r="D541" s="64"/>
      <c r="E541" s="61"/>
      <c r="F541" s="62"/>
      <c r="G541" s="61"/>
      <c r="H541" s="68"/>
      <c r="I541" s="49"/>
      <c r="J541" s="49"/>
      <c r="K541" s="49"/>
      <c r="L541" s="49"/>
      <c r="M541" s="49"/>
      <c r="N541" s="49"/>
      <c r="O541" s="49"/>
    </row>
    <row r="542" spans="3:15" ht="19.5" customHeight="1">
      <c r="C542" s="66"/>
      <c r="D542" s="64"/>
      <c r="E542" s="61"/>
      <c r="F542" s="62"/>
      <c r="G542" s="61"/>
      <c r="H542" s="68"/>
      <c r="I542" s="49"/>
      <c r="J542" s="49"/>
      <c r="K542" s="49"/>
      <c r="L542" s="49"/>
      <c r="M542" s="49"/>
      <c r="N542" s="49"/>
      <c r="O542" s="49"/>
    </row>
    <row r="543" spans="3:15" ht="19.5" customHeight="1">
      <c r="C543" s="66"/>
      <c r="D543" s="64"/>
      <c r="E543" s="61"/>
      <c r="F543" s="62"/>
      <c r="G543" s="61"/>
      <c r="H543" s="68"/>
      <c r="I543" s="49"/>
      <c r="J543" s="49"/>
      <c r="K543" s="49"/>
      <c r="L543" s="49"/>
      <c r="M543" s="49"/>
      <c r="N543" s="49"/>
      <c r="O543" s="49"/>
    </row>
    <row r="544" spans="3:15" ht="19.5" customHeight="1">
      <c r="C544" s="66"/>
      <c r="D544" s="64"/>
      <c r="E544" s="61"/>
      <c r="F544" s="62"/>
      <c r="G544" s="61"/>
      <c r="H544" s="68"/>
      <c r="I544" s="49"/>
      <c r="J544" s="49"/>
      <c r="K544" s="49"/>
      <c r="L544" s="49"/>
      <c r="M544" s="49"/>
      <c r="N544" s="49"/>
      <c r="O544" s="49"/>
    </row>
    <row r="545" spans="3:15" ht="19.5" customHeight="1">
      <c r="C545" s="66"/>
      <c r="D545" s="64"/>
      <c r="E545" s="61"/>
      <c r="F545" s="62"/>
      <c r="G545" s="61"/>
      <c r="H545" s="68"/>
      <c r="I545" s="49"/>
      <c r="J545" s="49"/>
      <c r="K545" s="49"/>
      <c r="L545" s="49"/>
      <c r="M545" s="49"/>
      <c r="N545" s="49"/>
      <c r="O545" s="49"/>
    </row>
    <row r="546" spans="3:15" ht="19.5" customHeight="1">
      <c r="C546" s="66"/>
      <c r="D546" s="64"/>
      <c r="E546" s="61"/>
      <c r="F546" s="62"/>
      <c r="G546" s="61"/>
      <c r="H546" s="68"/>
      <c r="I546" s="49"/>
      <c r="J546" s="49"/>
      <c r="K546" s="49"/>
      <c r="L546" s="49"/>
      <c r="M546" s="49"/>
      <c r="N546" s="49"/>
      <c r="O546" s="49"/>
    </row>
    <row r="547" spans="3:15" ht="19.5" customHeight="1">
      <c r="C547" s="66"/>
      <c r="D547" s="64"/>
      <c r="E547" s="61"/>
      <c r="F547" s="62"/>
      <c r="G547" s="61"/>
      <c r="H547" s="68"/>
      <c r="I547" s="49"/>
      <c r="J547" s="49"/>
      <c r="K547" s="49"/>
      <c r="L547" s="49"/>
      <c r="M547" s="49"/>
      <c r="N547" s="49"/>
      <c r="O547" s="49"/>
    </row>
    <row r="548" spans="3:15" ht="19.5" customHeight="1">
      <c r="C548" s="66"/>
      <c r="D548" s="64"/>
      <c r="E548" s="61"/>
      <c r="F548" s="62"/>
      <c r="G548" s="61"/>
      <c r="H548" s="68"/>
      <c r="I548" s="49"/>
      <c r="J548" s="49"/>
      <c r="K548" s="49"/>
      <c r="L548" s="49"/>
      <c r="M548" s="49"/>
      <c r="N548" s="49"/>
      <c r="O548" s="49"/>
    </row>
    <row r="549" spans="3:15" ht="19.5" customHeight="1">
      <c r="C549" s="66"/>
      <c r="D549" s="64"/>
      <c r="E549" s="61"/>
      <c r="F549" s="62"/>
      <c r="G549" s="61"/>
      <c r="H549" s="68"/>
      <c r="I549" s="49"/>
      <c r="J549" s="49"/>
      <c r="K549" s="49"/>
      <c r="L549" s="49"/>
      <c r="M549" s="49"/>
      <c r="N549" s="49"/>
      <c r="O549" s="49"/>
    </row>
    <row r="550" spans="3:15" ht="19.5" customHeight="1">
      <c r="C550" s="66"/>
      <c r="D550" s="64"/>
      <c r="E550" s="61"/>
      <c r="F550" s="62"/>
      <c r="G550" s="61"/>
      <c r="H550" s="68"/>
      <c r="I550" s="49"/>
      <c r="J550" s="49"/>
      <c r="K550" s="49"/>
      <c r="L550" s="49"/>
      <c r="M550" s="49"/>
      <c r="N550" s="49"/>
      <c r="O550" s="49"/>
    </row>
    <row r="551" spans="3:15" ht="19.5" customHeight="1">
      <c r="C551" s="66"/>
      <c r="D551" s="64"/>
      <c r="E551" s="61"/>
      <c r="F551" s="62"/>
      <c r="G551" s="61"/>
      <c r="H551" s="68"/>
      <c r="I551" s="49"/>
      <c r="J551" s="49"/>
      <c r="K551" s="49"/>
      <c r="L551" s="49"/>
      <c r="M551" s="49"/>
      <c r="N551" s="49"/>
      <c r="O551" s="49"/>
    </row>
    <row r="552" spans="3:15" ht="19.5" customHeight="1">
      <c r="C552" s="66"/>
      <c r="D552" s="64"/>
      <c r="E552" s="61"/>
      <c r="F552" s="62"/>
      <c r="G552" s="61"/>
      <c r="H552" s="68"/>
      <c r="I552" s="49"/>
      <c r="J552" s="49"/>
      <c r="K552" s="49"/>
      <c r="L552" s="49"/>
      <c r="M552" s="49"/>
      <c r="N552" s="49"/>
      <c r="O552" s="49"/>
    </row>
    <row r="553" spans="3:15" ht="19.5" customHeight="1">
      <c r="C553" s="66"/>
      <c r="D553" s="64"/>
      <c r="E553" s="61"/>
      <c r="F553" s="62"/>
      <c r="G553" s="61"/>
      <c r="H553" s="68"/>
      <c r="I553" s="49"/>
      <c r="J553" s="49"/>
      <c r="K553" s="49"/>
      <c r="L553" s="49"/>
      <c r="M553" s="49"/>
      <c r="N553" s="49"/>
      <c r="O553" s="49"/>
    </row>
    <row r="554" spans="3:15" ht="19.5" customHeight="1">
      <c r="C554" s="66"/>
      <c r="D554" s="64"/>
      <c r="E554" s="61"/>
      <c r="F554" s="62"/>
      <c r="G554" s="61"/>
      <c r="H554" s="68"/>
      <c r="I554" s="49"/>
      <c r="J554" s="49"/>
      <c r="K554" s="49"/>
      <c r="L554" s="49"/>
      <c r="M554" s="49"/>
      <c r="N554" s="49"/>
      <c r="O554" s="49"/>
    </row>
    <row r="555" spans="3:15" ht="19.5" customHeight="1">
      <c r="C555" s="66"/>
      <c r="D555" s="64"/>
      <c r="E555" s="61"/>
      <c r="F555" s="62"/>
      <c r="G555" s="61"/>
      <c r="H555" s="68"/>
      <c r="I555" s="49"/>
      <c r="J555" s="49"/>
      <c r="K555" s="49"/>
      <c r="L555" s="49"/>
      <c r="M555" s="49"/>
      <c r="N555" s="49"/>
      <c r="O555" s="49"/>
    </row>
    <row r="556" spans="3:15" ht="19.5" customHeight="1">
      <c r="C556" s="66"/>
      <c r="D556" s="64"/>
      <c r="E556" s="61"/>
      <c r="F556" s="62"/>
      <c r="G556" s="61"/>
      <c r="H556" s="68"/>
      <c r="I556" s="49"/>
      <c r="J556" s="49"/>
      <c r="K556" s="49"/>
      <c r="L556" s="49"/>
      <c r="M556" s="49"/>
      <c r="N556" s="49"/>
      <c r="O556" s="49"/>
    </row>
    <row r="557" spans="3:15" ht="19.5" customHeight="1">
      <c r="C557" s="66"/>
      <c r="D557" s="64"/>
      <c r="E557" s="61"/>
      <c r="F557" s="62"/>
      <c r="G557" s="61"/>
      <c r="H557" s="68"/>
      <c r="I557" s="49"/>
      <c r="J557" s="49"/>
      <c r="K557" s="49"/>
      <c r="L557" s="49"/>
      <c r="M557" s="49"/>
      <c r="N557" s="49"/>
      <c r="O557" s="49"/>
    </row>
    <row r="558" spans="3:15" ht="19.5" customHeight="1">
      <c r="C558" s="66"/>
      <c r="D558" s="64"/>
      <c r="E558" s="61"/>
      <c r="F558" s="62"/>
      <c r="G558" s="61"/>
      <c r="H558" s="68"/>
      <c r="I558" s="49"/>
      <c r="J558" s="49"/>
      <c r="K558" s="49"/>
      <c r="L558" s="49"/>
      <c r="M558" s="49"/>
      <c r="N558" s="49"/>
      <c r="O558" s="49"/>
    </row>
    <row r="559" spans="3:15" ht="19.5" customHeight="1">
      <c r="C559" s="66"/>
      <c r="D559" s="64"/>
      <c r="E559" s="61"/>
      <c r="F559" s="62"/>
      <c r="G559" s="61"/>
      <c r="H559" s="68"/>
      <c r="I559" s="49"/>
      <c r="J559" s="49"/>
      <c r="K559" s="49"/>
      <c r="L559" s="49"/>
      <c r="M559" s="49"/>
      <c r="N559" s="49"/>
      <c r="O559" s="49"/>
    </row>
    <row r="560" spans="3:15" ht="19.5" customHeight="1">
      <c r="C560" s="66"/>
      <c r="D560" s="64"/>
      <c r="E560" s="61"/>
      <c r="F560" s="62"/>
      <c r="G560" s="61"/>
      <c r="H560" s="68"/>
      <c r="I560" s="49"/>
      <c r="J560" s="49"/>
      <c r="K560" s="49"/>
      <c r="L560" s="49"/>
      <c r="M560" s="49"/>
      <c r="N560" s="49"/>
      <c r="O560" s="49"/>
    </row>
    <row r="561" spans="3:15" ht="19.5" customHeight="1">
      <c r="C561" s="66"/>
      <c r="D561" s="64"/>
      <c r="E561" s="61"/>
      <c r="F561" s="62"/>
      <c r="G561" s="61"/>
      <c r="H561" s="68"/>
      <c r="I561" s="49"/>
      <c r="J561" s="49"/>
      <c r="K561" s="49"/>
      <c r="L561" s="49"/>
      <c r="M561" s="49"/>
      <c r="N561" s="49"/>
      <c r="O561" s="49"/>
    </row>
    <row r="562" spans="3:15" ht="19.5" customHeight="1">
      <c r="C562" s="66"/>
      <c r="D562" s="64"/>
      <c r="E562" s="61"/>
      <c r="F562" s="62"/>
      <c r="G562" s="61"/>
      <c r="H562" s="68"/>
      <c r="I562" s="49"/>
      <c r="J562" s="49"/>
      <c r="K562" s="49"/>
      <c r="L562" s="49"/>
      <c r="M562" s="49"/>
      <c r="N562" s="49"/>
      <c r="O562" s="49"/>
    </row>
    <row r="563" spans="3:15" ht="19.5" customHeight="1">
      <c r="C563" s="66"/>
      <c r="D563" s="64"/>
      <c r="E563" s="61"/>
      <c r="F563" s="62"/>
      <c r="G563" s="61"/>
      <c r="H563" s="68"/>
      <c r="I563" s="49"/>
      <c r="J563" s="49"/>
      <c r="K563" s="49"/>
      <c r="L563" s="49"/>
      <c r="M563" s="49"/>
      <c r="N563" s="49"/>
      <c r="O563" s="49"/>
    </row>
    <row r="564" spans="3:15" ht="19.5" customHeight="1">
      <c r="C564" s="66"/>
      <c r="D564" s="64"/>
      <c r="E564" s="61"/>
      <c r="F564" s="62"/>
      <c r="G564" s="61"/>
      <c r="H564" s="68"/>
      <c r="I564" s="49"/>
      <c r="J564" s="49"/>
      <c r="K564" s="49"/>
      <c r="L564" s="49"/>
      <c r="M564" s="49"/>
      <c r="N564" s="49"/>
      <c r="O564" s="49"/>
    </row>
    <row r="565" spans="3:15" ht="19.5" customHeight="1">
      <c r="C565" s="66"/>
      <c r="D565" s="64"/>
      <c r="E565" s="61"/>
      <c r="F565" s="62"/>
      <c r="G565" s="61"/>
      <c r="H565" s="68"/>
      <c r="I565" s="49"/>
      <c r="J565" s="49"/>
      <c r="K565" s="49"/>
      <c r="L565" s="49"/>
      <c r="M565" s="49"/>
      <c r="N565" s="49"/>
      <c r="O565" s="49"/>
    </row>
    <row r="566" spans="3:15" ht="19.5" customHeight="1">
      <c r="C566" s="66"/>
      <c r="D566" s="64"/>
      <c r="E566" s="61"/>
      <c r="F566" s="62"/>
      <c r="G566" s="61"/>
      <c r="H566" s="68"/>
      <c r="I566" s="49"/>
      <c r="J566" s="49"/>
      <c r="K566" s="49"/>
      <c r="L566" s="49"/>
      <c r="M566" s="49"/>
      <c r="N566" s="49"/>
      <c r="O566" s="49"/>
    </row>
    <row r="567" spans="3:15" ht="19.5" customHeight="1">
      <c r="C567" s="66"/>
      <c r="D567" s="64"/>
      <c r="E567" s="61"/>
      <c r="F567" s="62"/>
      <c r="G567" s="61"/>
      <c r="H567" s="68"/>
      <c r="I567" s="49"/>
      <c r="J567" s="49"/>
      <c r="K567" s="49"/>
      <c r="L567" s="49"/>
      <c r="M567" s="49"/>
      <c r="N567" s="49"/>
      <c r="O567" s="49"/>
    </row>
    <row r="568" spans="3:15" ht="19.5" customHeight="1">
      <c r="C568" s="66"/>
      <c r="D568" s="64"/>
      <c r="E568" s="61"/>
      <c r="F568" s="62"/>
      <c r="G568" s="61"/>
      <c r="H568" s="68"/>
      <c r="I568" s="49"/>
      <c r="J568" s="49"/>
      <c r="K568" s="49"/>
      <c r="L568" s="49"/>
      <c r="M568" s="49"/>
      <c r="N568" s="49"/>
      <c r="O568" s="49"/>
    </row>
    <row r="569" spans="3:15" ht="19.5" customHeight="1">
      <c r="C569" s="66"/>
      <c r="D569" s="64"/>
      <c r="E569" s="61"/>
      <c r="F569" s="62"/>
      <c r="G569" s="61"/>
      <c r="H569" s="68"/>
      <c r="I569" s="49"/>
      <c r="J569" s="49"/>
      <c r="K569" s="49"/>
      <c r="L569" s="49"/>
      <c r="M569" s="49"/>
      <c r="N569" s="49"/>
      <c r="O569" s="49"/>
    </row>
    <row r="570" spans="3:15" ht="19.5" customHeight="1">
      <c r="C570" s="66"/>
      <c r="D570" s="64"/>
      <c r="E570" s="61"/>
      <c r="F570" s="62"/>
      <c r="G570" s="61"/>
      <c r="H570" s="68"/>
      <c r="I570" s="49"/>
      <c r="J570" s="49"/>
      <c r="K570" s="49"/>
      <c r="L570" s="49"/>
      <c r="M570" s="49"/>
      <c r="N570" s="49"/>
      <c r="O570" s="49"/>
    </row>
    <row r="571" spans="3:15" ht="19.5" customHeight="1">
      <c r="C571" s="66"/>
      <c r="D571" s="64"/>
      <c r="E571" s="61"/>
      <c r="F571" s="62"/>
      <c r="G571" s="61"/>
      <c r="H571" s="68"/>
      <c r="I571" s="49"/>
      <c r="J571" s="49"/>
      <c r="K571" s="49"/>
      <c r="L571" s="49"/>
      <c r="M571" s="49"/>
      <c r="N571" s="49"/>
      <c r="O571" s="49"/>
    </row>
    <row r="572" spans="3:15" ht="19.5" customHeight="1">
      <c r="C572" s="66"/>
      <c r="D572" s="64"/>
      <c r="E572" s="61"/>
      <c r="F572" s="62"/>
      <c r="G572" s="61"/>
      <c r="H572" s="68"/>
      <c r="I572" s="49"/>
      <c r="J572" s="49"/>
      <c r="K572" s="49"/>
      <c r="L572" s="49"/>
      <c r="M572" s="49"/>
      <c r="N572" s="49"/>
      <c r="O572" s="49"/>
    </row>
    <row r="573" spans="3:15" ht="19.5" customHeight="1">
      <c r="C573" s="66"/>
      <c r="D573" s="64"/>
      <c r="E573" s="61"/>
      <c r="F573" s="62"/>
      <c r="G573" s="61"/>
      <c r="H573" s="68"/>
      <c r="I573" s="49"/>
      <c r="J573" s="49"/>
      <c r="K573" s="49"/>
      <c r="L573" s="49"/>
      <c r="M573" s="49"/>
      <c r="N573" s="49"/>
      <c r="O573" s="49"/>
    </row>
    <row r="574" spans="3:15" ht="19.5" customHeight="1">
      <c r="C574" s="66"/>
      <c r="D574" s="64"/>
      <c r="E574" s="61"/>
      <c r="F574" s="62"/>
      <c r="G574" s="61"/>
      <c r="H574" s="68"/>
      <c r="I574" s="49"/>
      <c r="J574" s="49"/>
      <c r="K574" s="49"/>
      <c r="L574" s="49"/>
      <c r="M574" s="49"/>
      <c r="N574" s="49"/>
      <c r="O574" s="49"/>
    </row>
    <row r="575" spans="3:15" ht="19.5" customHeight="1">
      <c r="C575" s="66"/>
      <c r="D575" s="64"/>
      <c r="E575" s="61"/>
      <c r="F575" s="62"/>
      <c r="G575" s="61"/>
      <c r="H575" s="68"/>
      <c r="I575" s="49"/>
      <c r="J575" s="49"/>
      <c r="K575" s="49"/>
      <c r="L575" s="49"/>
      <c r="M575" s="49"/>
      <c r="N575" s="49"/>
      <c r="O575" s="49"/>
    </row>
    <row r="576" spans="3:15" ht="19.5" customHeight="1">
      <c r="C576" s="66"/>
      <c r="D576" s="64"/>
      <c r="E576" s="61"/>
      <c r="F576" s="62"/>
      <c r="G576" s="61"/>
      <c r="H576" s="68"/>
      <c r="I576" s="49"/>
      <c r="J576" s="49"/>
      <c r="K576" s="49"/>
      <c r="L576" s="49"/>
      <c r="M576" s="49"/>
      <c r="N576" s="49"/>
      <c r="O576" s="49"/>
    </row>
    <row r="577" spans="3:15" ht="19.5" customHeight="1">
      <c r="C577" s="66"/>
      <c r="D577" s="64"/>
      <c r="E577" s="61"/>
      <c r="F577" s="62"/>
      <c r="G577" s="61"/>
      <c r="H577" s="68"/>
      <c r="I577" s="49"/>
      <c r="J577" s="49"/>
      <c r="K577" s="49"/>
      <c r="L577" s="49"/>
      <c r="M577" s="49"/>
      <c r="N577" s="49"/>
      <c r="O577" s="49"/>
    </row>
    <row r="578" spans="3:15" ht="19.5" customHeight="1">
      <c r="C578" s="66"/>
      <c r="D578" s="64"/>
      <c r="E578" s="61"/>
      <c r="F578" s="62"/>
      <c r="G578" s="61"/>
      <c r="H578" s="68"/>
      <c r="I578" s="49"/>
      <c r="J578" s="49"/>
      <c r="K578" s="49"/>
      <c r="L578" s="49"/>
      <c r="M578" s="49"/>
      <c r="N578" s="49"/>
      <c r="O578" s="49"/>
    </row>
    <row r="579" spans="3:15" ht="19.5" customHeight="1">
      <c r="C579" s="66"/>
      <c r="D579" s="64"/>
      <c r="E579" s="61"/>
      <c r="F579" s="62"/>
      <c r="G579" s="61"/>
      <c r="H579" s="68"/>
      <c r="I579" s="49"/>
      <c r="J579" s="49"/>
      <c r="K579" s="49"/>
      <c r="L579" s="49"/>
      <c r="M579" s="49"/>
      <c r="N579" s="49"/>
      <c r="O579" s="49"/>
    </row>
    <row r="580" spans="3:15" ht="19.5" customHeight="1">
      <c r="C580" s="66"/>
      <c r="D580" s="64"/>
      <c r="E580" s="61"/>
      <c r="F580" s="62"/>
      <c r="G580" s="61"/>
      <c r="H580" s="68"/>
      <c r="I580" s="49"/>
      <c r="J580" s="49"/>
      <c r="K580" s="49"/>
      <c r="L580" s="49"/>
      <c r="M580" s="49"/>
      <c r="N580" s="49"/>
      <c r="O580" s="49"/>
    </row>
    <row r="581" spans="3:15" ht="19.5" customHeight="1">
      <c r="C581" s="66"/>
      <c r="D581" s="64"/>
      <c r="E581" s="61"/>
      <c r="F581" s="62"/>
      <c r="G581" s="61"/>
      <c r="H581" s="68"/>
      <c r="I581" s="49"/>
      <c r="J581" s="49"/>
      <c r="K581" s="49"/>
      <c r="L581" s="49"/>
      <c r="M581" s="49"/>
      <c r="N581" s="49"/>
      <c r="O581" s="49"/>
    </row>
    <row r="582" spans="3:15" ht="19.5" customHeight="1">
      <c r="C582" s="66"/>
      <c r="D582" s="64"/>
      <c r="E582" s="61"/>
      <c r="F582" s="62"/>
      <c r="G582" s="61"/>
      <c r="H582" s="68"/>
      <c r="I582" s="49"/>
      <c r="J582" s="49"/>
      <c r="K582" s="49"/>
      <c r="L582" s="49"/>
      <c r="M582" s="49"/>
      <c r="N582" s="49"/>
      <c r="O582" s="49"/>
    </row>
    <row r="583" spans="3:15" ht="19.5" customHeight="1">
      <c r="C583" s="66"/>
      <c r="D583" s="64"/>
      <c r="E583" s="61"/>
      <c r="F583" s="62"/>
      <c r="G583" s="61"/>
      <c r="H583" s="68"/>
      <c r="I583" s="49"/>
      <c r="J583" s="49"/>
      <c r="K583" s="49"/>
      <c r="L583" s="49"/>
      <c r="M583" s="49"/>
      <c r="N583" s="49"/>
      <c r="O583" s="49"/>
    </row>
    <row r="584" spans="3:15" ht="19.5" customHeight="1">
      <c r="C584" s="66"/>
      <c r="D584" s="64"/>
      <c r="E584" s="61"/>
      <c r="F584" s="62"/>
      <c r="G584" s="61"/>
      <c r="H584" s="68"/>
      <c r="I584" s="49"/>
      <c r="J584" s="49"/>
      <c r="K584" s="49"/>
      <c r="L584" s="49"/>
      <c r="M584" s="49"/>
      <c r="N584" s="49"/>
      <c r="O584" s="49"/>
    </row>
    <row r="585" spans="3:15" ht="19.5" customHeight="1">
      <c r="C585" s="66"/>
      <c r="D585" s="64"/>
      <c r="E585" s="61"/>
      <c r="F585" s="62"/>
      <c r="G585" s="61"/>
      <c r="H585" s="68"/>
      <c r="I585" s="49"/>
      <c r="J585" s="49"/>
      <c r="K585" s="49"/>
      <c r="L585" s="49"/>
      <c r="M585" s="49"/>
      <c r="N585" s="49"/>
      <c r="O585" s="49"/>
    </row>
    <row r="586" spans="3:15" ht="19.5" customHeight="1">
      <c r="C586" s="66"/>
      <c r="D586" s="64"/>
      <c r="E586" s="61"/>
      <c r="F586" s="62"/>
      <c r="G586" s="61"/>
      <c r="H586" s="68"/>
      <c r="I586" s="49"/>
      <c r="J586" s="49"/>
      <c r="K586" s="49"/>
      <c r="L586" s="49"/>
      <c r="M586" s="49"/>
      <c r="N586" s="49"/>
      <c r="O586" s="49"/>
    </row>
    <row r="587" spans="3:15" ht="19.5" customHeight="1">
      <c r="C587" s="66"/>
      <c r="D587" s="64"/>
      <c r="E587" s="61"/>
      <c r="F587" s="62"/>
      <c r="G587" s="61"/>
      <c r="H587" s="68"/>
      <c r="I587" s="49"/>
      <c r="J587" s="49"/>
      <c r="K587" s="49"/>
      <c r="L587" s="49"/>
      <c r="M587" s="49"/>
      <c r="N587" s="49"/>
      <c r="O587" s="49"/>
    </row>
    <row r="588" spans="3:15" ht="19.5" customHeight="1">
      <c r="C588" s="66"/>
      <c r="D588" s="64"/>
      <c r="E588" s="61"/>
      <c r="F588" s="62"/>
      <c r="G588" s="61"/>
      <c r="H588" s="68"/>
      <c r="I588" s="49"/>
      <c r="J588" s="49"/>
      <c r="K588" s="49"/>
      <c r="L588" s="49"/>
      <c r="M588" s="49"/>
      <c r="N588" s="49"/>
      <c r="O588" s="49"/>
    </row>
    <row r="589" spans="3:15" ht="19.5" customHeight="1">
      <c r="C589" s="66"/>
      <c r="D589" s="64"/>
      <c r="E589" s="61"/>
      <c r="F589" s="62"/>
      <c r="G589" s="61"/>
      <c r="H589" s="68"/>
      <c r="I589" s="49"/>
      <c r="J589" s="49"/>
      <c r="K589" s="49"/>
      <c r="L589" s="49"/>
      <c r="M589" s="49"/>
      <c r="N589" s="49"/>
      <c r="O589" s="49"/>
    </row>
    <row r="590" spans="3:15" ht="19.5" customHeight="1">
      <c r="C590" s="66"/>
      <c r="D590" s="64"/>
      <c r="E590" s="61"/>
      <c r="F590" s="62"/>
      <c r="G590" s="61"/>
      <c r="H590" s="68"/>
      <c r="I590" s="49"/>
      <c r="J590" s="49"/>
      <c r="K590" s="49"/>
      <c r="L590" s="49"/>
      <c r="M590" s="49"/>
      <c r="N590" s="49"/>
      <c r="O590" s="49"/>
    </row>
    <row r="591" spans="3:15" ht="19.5" customHeight="1">
      <c r="C591" s="66"/>
      <c r="D591" s="64"/>
      <c r="E591" s="61"/>
      <c r="F591" s="62"/>
      <c r="G591" s="61"/>
      <c r="H591" s="68"/>
      <c r="I591" s="49"/>
      <c r="J591" s="49"/>
      <c r="K591" s="49"/>
      <c r="L591" s="49"/>
      <c r="M591" s="49"/>
      <c r="N591" s="49"/>
      <c r="O591" s="49"/>
    </row>
    <row r="592" spans="3:15" ht="19.5" customHeight="1">
      <c r="C592" s="66"/>
      <c r="D592" s="64"/>
      <c r="E592" s="61"/>
      <c r="F592" s="62"/>
      <c r="G592" s="61"/>
      <c r="H592" s="68"/>
      <c r="I592" s="49"/>
      <c r="J592" s="49"/>
      <c r="K592" s="49"/>
      <c r="L592" s="49"/>
      <c r="M592" s="49"/>
      <c r="N592" s="49"/>
      <c r="O592" s="49"/>
    </row>
    <row r="593" spans="3:15" ht="19.5" customHeight="1">
      <c r="C593" s="66"/>
      <c r="D593" s="64"/>
      <c r="E593" s="61"/>
      <c r="F593" s="62"/>
      <c r="G593" s="61"/>
      <c r="H593" s="68"/>
      <c r="I593" s="49"/>
      <c r="J593" s="49"/>
      <c r="K593" s="49"/>
      <c r="L593" s="49"/>
      <c r="M593" s="49"/>
      <c r="N593" s="49"/>
      <c r="O593" s="49"/>
    </row>
    <row r="594" spans="3:15" ht="19.5" customHeight="1">
      <c r="C594" s="66"/>
      <c r="D594" s="64"/>
      <c r="E594" s="61"/>
      <c r="F594" s="62"/>
      <c r="G594" s="61"/>
      <c r="H594" s="68"/>
      <c r="I594" s="49"/>
      <c r="J594" s="49"/>
      <c r="K594" s="49"/>
      <c r="L594" s="49"/>
      <c r="M594" s="49"/>
      <c r="N594" s="49"/>
      <c r="O594" s="49"/>
    </row>
    <row r="595" spans="3:15" ht="19.5" customHeight="1">
      <c r="C595" s="66"/>
      <c r="D595" s="64"/>
      <c r="E595" s="61"/>
      <c r="F595" s="62"/>
      <c r="G595" s="61"/>
      <c r="H595" s="68"/>
      <c r="I595" s="49"/>
      <c r="J595" s="49"/>
      <c r="K595" s="49"/>
      <c r="L595" s="49"/>
      <c r="M595" s="49"/>
      <c r="N595" s="49"/>
      <c r="O595" s="49"/>
    </row>
    <row r="596" spans="3:15" ht="19.5" customHeight="1">
      <c r="C596" s="66"/>
      <c r="D596" s="64"/>
      <c r="E596" s="61"/>
      <c r="F596" s="62"/>
      <c r="G596" s="61"/>
      <c r="H596" s="68"/>
      <c r="I596" s="49"/>
      <c r="J596" s="49"/>
      <c r="K596" s="49"/>
      <c r="L596" s="49"/>
      <c r="M596" s="49"/>
      <c r="N596" s="49"/>
      <c r="O596" s="49"/>
    </row>
    <row r="597" spans="3:15" ht="19.5" customHeight="1">
      <c r="C597" s="66"/>
      <c r="D597" s="64"/>
      <c r="E597" s="61"/>
      <c r="F597" s="62"/>
      <c r="G597" s="61"/>
      <c r="H597" s="68"/>
      <c r="I597" s="49"/>
      <c r="J597" s="49"/>
      <c r="K597" s="49"/>
      <c r="L597" s="49"/>
      <c r="M597" s="49"/>
      <c r="N597" s="49"/>
      <c r="O597" s="49"/>
    </row>
    <row r="598" spans="3:15" ht="19.5" customHeight="1">
      <c r="C598" s="66"/>
      <c r="D598" s="64"/>
      <c r="E598" s="61"/>
      <c r="F598" s="62"/>
      <c r="G598" s="61"/>
      <c r="H598" s="68"/>
      <c r="I598" s="49"/>
      <c r="J598" s="49"/>
      <c r="K598" s="49"/>
      <c r="L598" s="49"/>
      <c r="M598" s="49"/>
      <c r="N598" s="49"/>
      <c r="O598" s="49"/>
    </row>
    <row r="599" spans="3:15" ht="19.5" customHeight="1">
      <c r="C599" s="66"/>
      <c r="D599" s="64"/>
      <c r="E599" s="61"/>
      <c r="F599" s="62"/>
      <c r="G599" s="61"/>
      <c r="H599" s="68"/>
      <c r="I599" s="49"/>
      <c r="J599" s="49"/>
      <c r="K599" s="49"/>
      <c r="L599" s="49"/>
      <c r="M599" s="49"/>
      <c r="N599" s="49"/>
      <c r="O599" s="49"/>
    </row>
    <row r="600" spans="3:15" ht="19.5" customHeight="1">
      <c r="C600" s="66"/>
      <c r="D600" s="64"/>
      <c r="E600" s="61"/>
      <c r="F600" s="62"/>
      <c r="G600" s="61"/>
      <c r="H600" s="68"/>
      <c r="I600" s="49"/>
      <c r="J600" s="49"/>
      <c r="K600" s="49"/>
      <c r="L600" s="49"/>
      <c r="M600" s="49"/>
      <c r="N600" s="49"/>
      <c r="O600" s="49"/>
    </row>
    <row r="601" spans="3:15" ht="19.5" customHeight="1">
      <c r="C601" s="66"/>
      <c r="D601" s="64"/>
      <c r="E601" s="61"/>
      <c r="F601" s="62"/>
      <c r="G601" s="61"/>
      <c r="H601" s="68"/>
      <c r="I601" s="49"/>
      <c r="J601" s="49"/>
      <c r="K601" s="49"/>
      <c r="L601" s="49"/>
      <c r="M601" s="49"/>
      <c r="N601" s="49"/>
      <c r="O601" s="49"/>
    </row>
    <row r="602" spans="3:15" ht="19.5" customHeight="1">
      <c r="C602" s="66"/>
      <c r="D602" s="64"/>
      <c r="E602" s="61"/>
      <c r="F602" s="62"/>
      <c r="G602" s="61"/>
      <c r="H602" s="68"/>
      <c r="I602" s="49"/>
      <c r="J602" s="49"/>
      <c r="K602" s="49"/>
      <c r="L602" s="49"/>
      <c r="M602" s="49"/>
      <c r="N602" s="49"/>
      <c r="O602" s="49"/>
    </row>
    <row r="603" spans="3:15" ht="19.5" customHeight="1">
      <c r="C603" s="66"/>
      <c r="D603" s="64"/>
      <c r="E603" s="61"/>
      <c r="F603" s="62"/>
      <c r="G603" s="61"/>
      <c r="H603" s="68"/>
      <c r="I603" s="49"/>
      <c r="J603" s="49"/>
      <c r="K603" s="49"/>
      <c r="L603" s="49"/>
      <c r="M603" s="49"/>
      <c r="N603" s="49"/>
      <c r="O603" s="49"/>
    </row>
    <row r="604" spans="3:15" ht="19.5" customHeight="1">
      <c r="C604" s="66"/>
      <c r="D604" s="64"/>
      <c r="E604" s="61"/>
      <c r="F604" s="62"/>
      <c r="G604" s="61"/>
      <c r="H604" s="68"/>
      <c r="I604" s="49"/>
      <c r="J604" s="49"/>
      <c r="K604" s="49"/>
      <c r="L604" s="49"/>
      <c r="M604" s="49"/>
      <c r="N604" s="49"/>
      <c r="O604" s="49"/>
    </row>
    <row r="605" spans="3:15" ht="19.5" customHeight="1">
      <c r="C605" s="66"/>
      <c r="D605" s="64"/>
      <c r="E605" s="61"/>
      <c r="F605" s="62"/>
      <c r="G605" s="61"/>
      <c r="H605" s="68"/>
      <c r="I605" s="49"/>
      <c r="J605" s="49"/>
      <c r="K605" s="49"/>
      <c r="L605" s="49"/>
      <c r="M605" s="49"/>
      <c r="N605" s="49"/>
      <c r="O605" s="49"/>
    </row>
    <row r="606" spans="3:15" ht="19.5" customHeight="1">
      <c r="C606" s="66"/>
      <c r="D606" s="64"/>
      <c r="E606" s="61"/>
      <c r="F606" s="62"/>
      <c r="G606" s="61"/>
      <c r="H606" s="68"/>
      <c r="I606" s="49"/>
      <c r="J606" s="49"/>
      <c r="K606" s="49"/>
      <c r="L606" s="49"/>
      <c r="M606" s="49"/>
      <c r="N606" s="49"/>
      <c r="O606" s="49"/>
    </row>
    <row r="607" spans="3:15" ht="19.5" customHeight="1">
      <c r="C607" s="66"/>
      <c r="D607" s="64"/>
      <c r="E607" s="61"/>
      <c r="F607" s="62"/>
      <c r="G607" s="61"/>
      <c r="H607" s="68"/>
      <c r="I607" s="49"/>
      <c r="J607" s="49"/>
      <c r="K607" s="49"/>
      <c r="L607" s="49"/>
      <c r="M607" s="49"/>
      <c r="N607" s="49"/>
      <c r="O607" s="49"/>
    </row>
    <row r="608" spans="3:15" ht="19.5" customHeight="1">
      <c r="C608" s="66"/>
      <c r="D608" s="64"/>
      <c r="E608" s="61"/>
      <c r="F608" s="62"/>
      <c r="G608" s="61"/>
      <c r="H608" s="68"/>
      <c r="I608" s="49"/>
      <c r="J608" s="49"/>
      <c r="K608" s="49"/>
      <c r="L608" s="49"/>
      <c r="M608" s="49"/>
      <c r="N608" s="49"/>
      <c r="O608" s="49"/>
    </row>
    <row r="609" spans="3:15" ht="19.5" customHeight="1">
      <c r="C609" s="66"/>
      <c r="D609" s="64"/>
      <c r="E609" s="61"/>
      <c r="F609" s="62"/>
      <c r="G609" s="61"/>
      <c r="H609" s="68"/>
      <c r="I609" s="49"/>
      <c r="J609" s="49"/>
      <c r="K609" s="49"/>
      <c r="L609" s="49"/>
      <c r="M609" s="49"/>
      <c r="N609" s="49"/>
      <c r="O609" s="49"/>
    </row>
    <row r="610" spans="3:15" ht="19.5" customHeight="1">
      <c r="C610" s="66"/>
      <c r="D610" s="64"/>
      <c r="E610" s="61"/>
      <c r="F610" s="62"/>
      <c r="G610" s="61"/>
      <c r="H610" s="68"/>
      <c r="I610" s="49"/>
      <c r="J610" s="49"/>
      <c r="K610" s="49"/>
      <c r="L610" s="49"/>
      <c r="M610" s="49"/>
      <c r="N610" s="49"/>
      <c r="O610" s="49"/>
    </row>
    <row r="611" spans="3:15" ht="19.5" customHeight="1">
      <c r="C611" s="66"/>
      <c r="D611" s="64"/>
      <c r="E611" s="61"/>
      <c r="F611" s="62"/>
      <c r="G611" s="61"/>
      <c r="H611" s="68"/>
      <c r="I611" s="49"/>
      <c r="J611" s="49"/>
      <c r="K611" s="49"/>
      <c r="L611" s="49"/>
      <c r="M611" s="49"/>
      <c r="N611" s="49"/>
      <c r="O611" s="49"/>
    </row>
    <row r="612" spans="3:15" ht="19.5" customHeight="1">
      <c r="C612" s="66"/>
      <c r="D612" s="64"/>
      <c r="E612" s="61"/>
      <c r="F612" s="62"/>
      <c r="G612" s="61"/>
      <c r="H612" s="68"/>
      <c r="I612" s="49"/>
      <c r="J612" s="49"/>
      <c r="K612" s="49"/>
      <c r="L612" s="49"/>
      <c r="M612" s="49"/>
      <c r="N612" s="49"/>
      <c r="O612" s="49"/>
    </row>
    <row r="613" spans="3:15" ht="19.5" customHeight="1">
      <c r="C613" s="66"/>
      <c r="D613" s="64"/>
      <c r="E613" s="61"/>
      <c r="F613" s="62"/>
      <c r="G613" s="61"/>
      <c r="H613" s="68"/>
      <c r="I613" s="49"/>
      <c r="J613" s="49"/>
      <c r="K613" s="49"/>
      <c r="L613" s="49"/>
      <c r="M613" s="49"/>
      <c r="N613" s="49"/>
      <c r="O613" s="49"/>
    </row>
    <row r="614" spans="3:15" ht="19.5" customHeight="1">
      <c r="C614" s="66"/>
      <c r="D614" s="64"/>
      <c r="E614" s="61"/>
      <c r="F614" s="62"/>
      <c r="G614" s="61"/>
      <c r="H614" s="68"/>
      <c r="I614" s="49"/>
      <c r="J614" s="49"/>
      <c r="K614" s="49"/>
      <c r="L614" s="49"/>
      <c r="M614" s="49"/>
      <c r="N614" s="49"/>
      <c r="O614" s="49"/>
    </row>
    <row r="615" spans="3:15" ht="19.5" customHeight="1">
      <c r="C615" s="66"/>
      <c r="D615" s="64"/>
      <c r="E615" s="61"/>
      <c r="F615" s="62"/>
      <c r="G615" s="61"/>
      <c r="H615" s="68"/>
      <c r="I615" s="49"/>
      <c r="J615" s="49"/>
      <c r="K615" s="49"/>
      <c r="L615" s="49"/>
      <c r="M615" s="49"/>
      <c r="N615" s="49"/>
      <c r="O615" s="49"/>
    </row>
    <row r="616" spans="3:15" ht="19.5" customHeight="1">
      <c r="C616" s="66"/>
      <c r="D616" s="64"/>
      <c r="E616" s="61"/>
      <c r="F616" s="62"/>
      <c r="G616" s="61"/>
      <c r="H616" s="68"/>
      <c r="I616" s="49"/>
      <c r="J616" s="49"/>
      <c r="K616" s="49"/>
      <c r="L616" s="49"/>
      <c r="M616" s="49"/>
      <c r="N616" s="49"/>
      <c r="O616" s="49"/>
    </row>
    <row r="617" spans="3:15" ht="19.5" customHeight="1">
      <c r="C617" s="66"/>
      <c r="D617" s="64"/>
      <c r="E617" s="61"/>
      <c r="F617" s="62"/>
      <c r="G617" s="61"/>
      <c r="H617" s="68"/>
      <c r="I617" s="49"/>
      <c r="J617" s="49"/>
      <c r="K617" s="49"/>
      <c r="L617" s="49"/>
      <c r="M617" s="49"/>
      <c r="N617" s="49"/>
      <c r="O617" s="49"/>
    </row>
    <row r="618" spans="3:15" ht="19.5" customHeight="1">
      <c r="C618" s="66"/>
      <c r="D618" s="64"/>
      <c r="E618" s="61"/>
      <c r="F618" s="62"/>
      <c r="G618" s="61"/>
      <c r="H618" s="68"/>
      <c r="I618" s="49"/>
      <c r="J618" s="49"/>
      <c r="K618" s="49"/>
      <c r="L618" s="49"/>
      <c r="M618" s="49"/>
      <c r="N618" s="49"/>
      <c r="O618" s="49"/>
    </row>
    <row r="619" spans="3:15" ht="19.5" customHeight="1">
      <c r="C619" s="66"/>
      <c r="D619" s="64"/>
      <c r="E619" s="61"/>
      <c r="F619" s="62"/>
      <c r="G619" s="61"/>
      <c r="H619" s="68"/>
      <c r="I619" s="49"/>
      <c r="J619" s="49"/>
      <c r="K619" s="49"/>
      <c r="L619" s="49"/>
      <c r="M619" s="49"/>
      <c r="N619" s="49"/>
      <c r="O619" s="49"/>
    </row>
    <row r="620" spans="3:15" ht="19.5" customHeight="1">
      <c r="C620" s="66"/>
      <c r="D620" s="64"/>
      <c r="E620" s="61"/>
      <c r="F620" s="62"/>
      <c r="G620" s="61"/>
      <c r="H620" s="68"/>
      <c r="I620" s="49"/>
      <c r="J620" s="49"/>
      <c r="K620" s="49"/>
      <c r="L620" s="49"/>
      <c r="M620" s="49"/>
      <c r="N620" s="49"/>
      <c r="O620" s="49"/>
    </row>
    <row r="621" spans="3:15" ht="19.5" customHeight="1">
      <c r="C621" s="66"/>
      <c r="D621" s="64"/>
      <c r="E621" s="61"/>
      <c r="F621" s="62"/>
      <c r="G621" s="61"/>
      <c r="H621" s="68"/>
      <c r="I621" s="49"/>
      <c r="J621" s="49"/>
      <c r="K621" s="49"/>
      <c r="L621" s="49"/>
      <c r="M621" s="49"/>
      <c r="N621" s="49"/>
      <c r="O621" s="49"/>
    </row>
    <row r="622" spans="3:15" ht="19.5" customHeight="1">
      <c r="C622" s="66"/>
      <c r="D622" s="64"/>
      <c r="E622" s="61"/>
      <c r="F622" s="62"/>
      <c r="G622" s="61"/>
      <c r="H622" s="68"/>
      <c r="I622" s="49"/>
      <c r="J622" s="49"/>
      <c r="K622" s="49"/>
      <c r="L622" s="49"/>
      <c r="M622" s="49"/>
      <c r="N622" s="49"/>
      <c r="O622" s="49"/>
    </row>
    <row r="623" spans="3:15" ht="19.5" customHeight="1">
      <c r="C623" s="66"/>
      <c r="D623" s="64"/>
      <c r="E623" s="61"/>
      <c r="F623" s="62"/>
      <c r="G623" s="61"/>
      <c r="H623" s="68"/>
      <c r="I623" s="49"/>
      <c r="J623" s="49"/>
      <c r="K623" s="49"/>
      <c r="L623" s="49"/>
      <c r="M623" s="49"/>
      <c r="N623" s="49"/>
      <c r="O623" s="49"/>
    </row>
    <row r="624" spans="3:15" ht="19.5" customHeight="1">
      <c r="C624" s="66"/>
      <c r="D624" s="64"/>
      <c r="E624" s="61"/>
      <c r="F624" s="62"/>
      <c r="G624" s="61"/>
      <c r="H624" s="68"/>
      <c r="I624" s="49"/>
      <c r="J624" s="49"/>
      <c r="K624" s="49"/>
      <c r="L624" s="49"/>
      <c r="M624" s="49"/>
      <c r="N624" s="49"/>
      <c r="O624" s="49"/>
    </row>
    <row r="625" spans="3:15" ht="19.5" customHeight="1">
      <c r="C625" s="66"/>
      <c r="D625" s="64"/>
      <c r="E625" s="61"/>
      <c r="F625" s="62"/>
      <c r="G625" s="61"/>
      <c r="H625" s="68"/>
      <c r="I625" s="49"/>
      <c r="J625" s="49"/>
      <c r="K625" s="49"/>
      <c r="L625" s="49"/>
      <c r="M625" s="49"/>
      <c r="N625" s="49"/>
      <c r="O625" s="49"/>
    </row>
    <row r="626" spans="3:15" ht="19.5" customHeight="1">
      <c r="C626" s="66"/>
      <c r="D626" s="64"/>
      <c r="E626" s="61"/>
      <c r="F626" s="62"/>
      <c r="G626" s="61"/>
      <c r="H626" s="68"/>
      <c r="I626" s="49"/>
      <c r="J626" s="49"/>
      <c r="K626" s="49"/>
      <c r="L626" s="49"/>
      <c r="M626" s="49"/>
      <c r="N626" s="49"/>
      <c r="O626" s="49"/>
    </row>
    <row r="627" spans="3:15" ht="19.5" customHeight="1">
      <c r="C627" s="66"/>
      <c r="D627" s="64"/>
      <c r="E627" s="61"/>
      <c r="F627" s="62"/>
      <c r="G627" s="61"/>
      <c r="H627" s="68"/>
      <c r="I627" s="49"/>
      <c r="J627" s="49"/>
      <c r="K627" s="49"/>
      <c r="L627" s="49"/>
      <c r="M627" s="49"/>
      <c r="N627" s="49"/>
      <c r="O627" s="49"/>
    </row>
    <row r="628" spans="3:15" ht="19.5" customHeight="1">
      <c r="C628" s="66"/>
      <c r="D628" s="64"/>
      <c r="E628" s="61"/>
      <c r="F628" s="62"/>
      <c r="G628" s="61"/>
      <c r="H628" s="68"/>
      <c r="I628" s="49"/>
      <c r="J628" s="49"/>
      <c r="K628" s="49"/>
      <c r="L628" s="49"/>
      <c r="M628" s="49"/>
      <c r="N628" s="49"/>
      <c r="O628" s="49"/>
    </row>
    <row r="629" spans="3:15" ht="19.5" customHeight="1">
      <c r="C629" s="66"/>
      <c r="D629" s="64"/>
      <c r="E629" s="61"/>
      <c r="F629" s="62"/>
      <c r="G629" s="61"/>
      <c r="H629" s="68"/>
      <c r="I629" s="49"/>
      <c r="J629" s="49"/>
      <c r="K629" s="49"/>
      <c r="L629" s="49"/>
      <c r="M629" s="49"/>
      <c r="N629" s="49"/>
      <c r="O629" s="49"/>
    </row>
    <row r="630" spans="3:15" ht="19.5" customHeight="1">
      <c r="C630" s="66"/>
      <c r="D630" s="64"/>
      <c r="E630" s="61"/>
      <c r="F630" s="62"/>
      <c r="G630" s="61"/>
      <c r="H630" s="68"/>
      <c r="I630" s="49"/>
      <c r="J630" s="49"/>
      <c r="K630" s="49"/>
      <c r="L630" s="49"/>
      <c r="M630" s="49"/>
      <c r="N630" s="49"/>
      <c r="O630" s="49"/>
    </row>
    <row r="631" spans="3:15" ht="19.5" customHeight="1">
      <c r="C631" s="66"/>
      <c r="D631" s="64"/>
      <c r="E631" s="61"/>
      <c r="F631" s="62"/>
      <c r="G631" s="61"/>
      <c r="H631" s="68"/>
      <c r="I631" s="49"/>
      <c r="J631" s="49"/>
      <c r="K631" s="49"/>
      <c r="L631" s="49"/>
      <c r="M631" s="49"/>
      <c r="N631" s="49"/>
      <c r="O631" s="49"/>
    </row>
    <row r="632" spans="3:15" ht="19.5" customHeight="1">
      <c r="C632" s="66"/>
      <c r="D632" s="64"/>
      <c r="E632" s="61"/>
      <c r="F632" s="62"/>
      <c r="G632" s="61"/>
      <c r="H632" s="68"/>
      <c r="I632" s="49"/>
      <c r="J632" s="49"/>
      <c r="K632" s="49"/>
      <c r="L632" s="49"/>
      <c r="M632" s="49"/>
      <c r="N632" s="49"/>
      <c r="O632" s="49"/>
    </row>
    <row r="633" spans="3:15" ht="19.5" customHeight="1">
      <c r="C633" s="66"/>
      <c r="D633" s="64"/>
      <c r="E633" s="61"/>
      <c r="F633" s="62"/>
      <c r="G633" s="61"/>
      <c r="H633" s="68"/>
      <c r="I633" s="49"/>
      <c r="J633" s="49"/>
      <c r="K633" s="49"/>
      <c r="L633" s="49"/>
      <c r="M633" s="49"/>
      <c r="N633" s="49"/>
      <c r="O633" s="49"/>
    </row>
    <row r="634" spans="3:15" ht="19.5" customHeight="1">
      <c r="C634" s="66"/>
      <c r="D634" s="64"/>
      <c r="E634" s="61"/>
      <c r="F634" s="62"/>
      <c r="G634" s="61"/>
      <c r="H634" s="68"/>
      <c r="I634" s="49"/>
      <c r="J634" s="49"/>
      <c r="K634" s="49"/>
      <c r="L634" s="49"/>
      <c r="M634" s="49"/>
      <c r="N634" s="49"/>
      <c r="O634" s="49"/>
    </row>
    <row r="635" spans="3:15" ht="19.5" customHeight="1">
      <c r="C635" s="66"/>
      <c r="D635" s="64"/>
      <c r="E635" s="61"/>
      <c r="F635" s="62"/>
      <c r="G635" s="61"/>
      <c r="H635" s="68"/>
      <c r="I635" s="49"/>
      <c r="J635" s="49"/>
      <c r="K635" s="49"/>
      <c r="L635" s="49"/>
      <c r="M635" s="49"/>
      <c r="N635" s="49"/>
      <c r="O635" s="49"/>
    </row>
    <row r="636" spans="3:15" ht="19.5" customHeight="1">
      <c r="C636" s="66"/>
      <c r="D636" s="64"/>
      <c r="E636" s="61"/>
      <c r="F636" s="62"/>
      <c r="G636" s="61"/>
      <c r="H636" s="68"/>
      <c r="I636" s="49"/>
      <c r="J636" s="49"/>
      <c r="K636" s="49"/>
      <c r="L636" s="49"/>
      <c r="M636" s="49"/>
      <c r="N636" s="49"/>
      <c r="O636" s="49"/>
    </row>
    <row r="637" spans="3:15" ht="19.5" customHeight="1">
      <c r="C637" s="66"/>
      <c r="D637" s="64"/>
      <c r="E637" s="61"/>
      <c r="F637" s="62"/>
      <c r="G637" s="61"/>
      <c r="H637" s="68"/>
      <c r="I637" s="49"/>
      <c r="J637" s="49"/>
      <c r="K637" s="49"/>
      <c r="L637" s="49"/>
      <c r="M637" s="49"/>
      <c r="N637" s="49"/>
      <c r="O637" s="49"/>
    </row>
    <row r="638" spans="3:15" ht="19.5" customHeight="1">
      <c r="C638" s="66"/>
      <c r="D638" s="64"/>
      <c r="E638" s="61"/>
      <c r="F638" s="62"/>
      <c r="G638" s="61"/>
      <c r="H638" s="68"/>
      <c r="I638" s="49"/>
      <c r="J638" s="49"/>
      <c r="K638" s="49"/>
      <c r="L638" s="49"/>
      <c r="M638" s="49"/>
      <c r="N638" s="49"/>
      <c r="O638" s="49"/>
    </row>
    <row r="639" spans="3:15" ht="19.5" customHeight="1">
      <c r="C639" s="66"/>
      <c r="D639" s="64"/>
      <c r="E639" s="61"/>
      <c r="F639" s="62"/>
      <c r="G639" s="61"/>
      <c r="H639" s="68"/>
      <c r="I639" s="49"/>
      <c r="J639" s="49"/>
      <c r="K639" s="49"/>
      <c r="L639" s="49"/>
      <c r="M639" s="49"/>
      <c r="N639" s="49"/>
      <c r="O639" s="49"/>
    </row>
    <row r="640" spans="3:15" ht="19.5" customHeight="1">
      <c r="C640" s="66"/>
      <c r="D640" s="64"/>
      <c r="E640" s="61"/>
      <c r="F640" s="62"/>
      <c r="G640" s="61"/>
      <c r="H640" s="68"/>
      <c r="I640" s="49"/>
      <c r="J640" s="49"/>
      <c r="K640" s="49"/>
      <c r="L640" s="49"/>
      <c r="M640" s="49"/>
      <c r="N640" s="49"/>
      <c r="O640" s="49"/>
    </row>
    <row r="641" spans="3:15" ht="19.5" customHeight="1">
      <c r="C641" s="66"/>
      <c r="D641" s="64"/>
      <c r="E641" s="61"/>
      <c r="F641" s="62"/>
      <c r="G641" s="61"/>
      <c r="H641" s="68"/>
      <c r="I641" s="49"/>
      <c r="J641" s="49"/>
      <c r="K641" s="49"/>
      <c r="L641" s="49"/>
      <c r="M641" s="49"/>
      <c r="N641" s="49"/>
      <c r="O641" s="49"/>
    </row>
    <row r="642" spans="3:15" ht="19.5" customHeight="1">
      <c r="C642" s="66"/>
      <c r="D642" s="64"/>
      <c r="E642" s="61"/>
      <c r="F642" s="62"/>
      <c r="G642" s="61"/>
      <c r="H642" s="68"/>
      <c r="I642" s="49"/>
      <c r="J642" s="49"/>
      <c r="K642" s="49"/>
      <c r="L642" s="49"/>
      <c r="M642" s="49"/>
      <c r="N642" s="49"/>
      <c r="O642" s="49"/>
    </row>
    <row r="643" spans="3:15" ht="19.5" customHeight="1">
      <c r="C643" s="66"/>
      <c r="D643" s="64"/>
      <c r="E643" s="61"/>
      <c r="F643" s="62"/>
      <c r="G643" s="61"/>
      <c r="H643" s="68"/>
      <c r="I643" s="49"/>
      <c r="J643" s="49"/>
      <c r="K643" s="49"/>
      <c r="L643" s="49"/>
      <c r="M643" s="49"/>
      <c r="N643" s="49"/>
      <c r="O643" s="49"/>
    </row>
    <row r="644" spans="3:15" ht="19.5" customHeight="1">
      <c r="C644" s="66"/>
      <c r="D644" s="64"/>
      <c r="E644" s="61"/>
      <c r="F644" s="62"/>
      <c r="G644" s="61"/>
      <c r="H644" s="68"/>
      <c r="I644" s="49"/>
      <c r="J644" s="49"/>
      <c r="K644" s="49"/>
      <c r="L644" s="49"/>
      <c r="M644" s="49"/>
      <c r="N644" s="49"/>
      <c r="O644" s="49"/>
    </row>
    <row r="645" spans="3:15" ht="19.5" customHeight="1">
      <c r="C645" s="66"/>
      <c r="D645" s="64"/>
      <c r="E645" s="61"/>
      <c r="F645" s="62"/>
      <c r="G645" s="61"/>
      <c r="H645" s="68"/>
      <c r="I645" s="49"/>
      <c r="J645" s="49"/>
      <c r="K645" s="49"/>
      <c r="L645" s="49"/>
      <c r="M645" s="49"/>
      <c r="N645" s="49"/>
      <c r="O645" s="49"/>
    </row>
    <row r="646" spans="3:15" ht="19.5" customHeight="1">
      <c r="C646" s="66"/>
      <c r="D646" s="64"/>
      <c r="E646" s="61"/>
      <c r="F646" s="62"/>
      <c r="G646" s="61"/>
      <c r="H646" s="68"/>
      <c r="I646" s="49"/>
      <c r="J646" s="49"/>
      <c r="K646" s="49"/>
      <c r="L646" s="49"/>
      <c r="M646" s="49"/>
      <c r="N646" s="49"/>
      <c r="O646" s="49"/>
    </row>
    <row r="647" spans="3:15" ht="19.5" customHeight="1">
      <c r="C647" s="66"/>
      <c r="D647" s="64"/>
      <c r="E647" s="61"/>
      <c r="F647" s="62"/>
      <c r="G647" s="61"/>
      <c r="H647" s="68"/>
      <c r="I647" s="49"/>
      <c r="J647" s="49"/>
      <c r="K647" s="49"/>
      <c r="L647" s="49"/>
      <c r="M647" s="49"/>
      <c r="N647" s="49"/>
      <c r="O647" s="49"/>
    </row>
    <row r="648" spans="3:15" ht="19.5" customHeight="1">
      <c r="C648" s="66"/>
      <c r="D648" s="64"/>
      <c r="E648" s="61"/>
      <c r="F648" s="62"/>
      <c r="G648" s="61"/>
      <c r="H648" s="68"/>
      <c r="I648" s="49"/>
      <c r="J648" s="49"/>
      <c r="K648" s="49"/>
      <c r="L648" s="49"/>
      <c r="M648" s="49"/>
      <c r="N648" s="49"/>
      <c r="O648" s="49"/>
    </row>
    <row r="649" spans="3:15" ht="19.5" customHeight="1">
      <c r="C649" s="66"/>
      <c r="D649" s="64"/>
      <c r="E649" s="61"/>
      <c r="F649" s="62"/>
      <c r="G649" s="61"/>
      <c r="H649" s="68"/>
      <c r="I649" s="49"/>
      <c r="J649" s="49"/>
      <c r="K649" s="49"/>
      <c r="L649" s="49"/>
      <c r="M649" s="49"/>
      <c r="N649" s="49"/>
      <c r="O649" s="49"/>
    </row>
    <row r="650" spans="3:15" ht="19.5" customHeight="1">
      <c r="C650" s="66"/>
      <c r="D650" s="64"/>
      <c r="E650" s="61"/>
      <c r="F650" s="62"/>
      <c r="G650" s="61"/>
      <c r="H650" s="68"/>
      <c r="I650" s="49"/>
      <c r="J650" s="49"/>
      <c r="K650" s="49"/>
      <c r="L650" s="49"/>
      <c r="M650" s="49"/>
      <c r="N650" s="49"/>
      <c r="O650" s="49"/>
    </row>
    <row r="651" spans="3:15" ht="19.5" customHeight="1">
      <c r="C651" s="66"/>
      <c r="D651" s="64"/>
      <c r="E651" s="61"/>
      <c r="F651" s="62"/>
      <c r="G651" s="61"/>
      <c r="H651" s="68"/>
      <c r="I651" s="49"/>
      <c r="J651" s="49"/>
      <c r="K651" s="49"/>
      <c r="L651" s="49"/>
      <c r="M651" s="49"/>
      <c r="N651" s="49"/>
      <c r="O651" s="49"/>
    </row>
    <row r="652" spans="3:15" ht="19.5" customHeight="1">
      <c r="C652" s="66"/>
      <c r="D652" s="64"/>
      <c r="E652" s="61"/>
      <c r="F652" s="62"/>
      <c r="G652" s="61"/>
      <c r="H652" s="68"/>
      <c r="I652" s="49"/>
      <c r="J652" s="49"/>
      <c r="K652" s="49"/>
      <c r="L652" s="49"/>
      <c r="M652" s="49"/>
      <c r="N652" s="49"/>
      <c r="O652" s="49"/>
    </row>
    <row r="653" spans="3:15" ht="19.5" customHeight="1">
      <c r="C653" s="66"/>
      <c r="D653" s="64"/>
      <c r="E653" s="61"/>
      <c r="F653" s="62"/>
      <c r="G653" s="61"/>
      <c r="H653" s="68"/>
      <c r="I653" s="49"/>
      <c r="J653" s="49"/>
      <c r="K653" s="49"/>
      <c r="L653" s="49"/>
      <c r="M653" s="49"/>
      <c r="N653" s="49"/>
      <c r="O653" s="49"/>
    </row>
    <row r="654" spans="3:15" ht="19.5" customHeight="1">
      <c r="C654" s="66"/>
      <c r="D654" s="64"/>
      <c r="E654" s="61"/>
      <c r="F654" s="62"/>
      <c r="G654" s="61"/>
      <c r="H654" s="68"/>
      <c r="I654" s="49"/>
      <c r="J654" s="49"/>
      <c r="K654" s="49"/>
      <c r="L654" s="49"/>
      <c r="M654" s="49"/>
      <c r="N654" s="49"/>
      <c r="O654" s="49"/>
    </row>
    <row r="655" spans="3:15" ht="19.5" customHeight="1">
      <c r="C655" s="66"/>
      <c r="D655" s="64"/>
      <c r="E655" s="61"/>
      <c r="F655" s="62"/>
      <c r="G655" s="61"/>
      <c r="H655" s="68"/>
      <c r="I655" s="49"/>
      <c r="J655" s="49"/>
      <c r="K655" s="49"/>
      <c r="L655" s="49"/>
      <c r="M655" s="49"/>
      <c r="N655" s="49"/>
      <c r="O655" s="49"/>
    </row>
    <row r="656" spans="3:15" ht="19.5" customHeight="1">
      <c r="C656" s="66"/>
      <c r="D656" s="64"/>
      <c r="E656" s="61"/>
      <c r="F656" s="62"/>
      <c r="G656" s="61"/>
      <c r="H656" s="68"/>
      <c r="I656" s="49"/>
      <c r="J656" s="49"/>
      <c r="K656" s="49"/>
      <c r="L656" s="49"/>
      <c r="M656" s="49"/>
      <c r="N656" s="49"/>
      <c r="O656" s="49"/>
    </row>
    <row r="657" spans="3:15" ht="19.5" customHeight="1">
      <c r="C657" s="66"/>
      <c r="D657" s="64"/>
      <c r="E657" s="61"/>
      <c r="F657" s="62"/>
      <c r="G657" s="61"/>
      <c r="H657" s="68"/>
      <c r="I657" s="49"/>
      <c r="J657" s="49"/>
      <c r="K657" s="49"/>
      <c r="L657" s="49"/>
      <c r="M657" s="49"/>
      <c r="N657" s="49"/>
      <c r="O657" s="49"/>
    </row>
    <row r="658" spans="3:15" ht="19.5" customHeight="1">
      <c r="C658" s="66"/>
      <c r="D658" s="64"/>
      <c r="E658" s="61"/>
      <c r="F658" s="62"/>
      <c r="G658" s="61"/>
      <c r="H658" s="68"/>
      <c r="I658" s="49"/>
      <c r="J658" s="49"/>
      <c r="K658" s="49"/>
      <c r="L658" s="49"/>
      <c r="M658" s="49"/>
      <c r="N658" s="49"/>
      <c r="O658" s="49"/>
    </row>
    <row r="659" spans="3:15" ht="19.5" customHeight="1">
      <c r="C659" s="66"/>
      <c r="D659" s="64"/>
      <c r="E659" s="61"/>
      <c r="F659" s="62"/>
      <c r="G659" s="61"/>
      <c r="H659" s="68"/>
      <c r="I659" s="49"/>
      <c r="J659" s="49"/>
      <c r="K659" s="49"/>
      <c r="L659" s="49"/>
      <c r="M659" s="49"/>
      <c r="N659" s="49"/>
      <c r="O659" s="49"/>
    </row>
    <row r="660" spans="3:15" ht="19.5" customHeight="1">
      <c r="C660" s="66"/>
      <c r="D660" s="64"/>
      <c r="E660" s="61"/>
      <c r="F660" s="62"/>
      <c r="G660" s="61"/>
      <c r="H660" s="68"/>
      <c r="I660" s="49"/>
      <c r="J660" s="49"/>
      <c r="K660" s="49"/>
      <c r="L660" s="49"/>
      <c r="M660" s="49"/>
      <c r="N660" s="49"/>
      <c r="O660" s="49"/>
    </row>
    <row r="661" spans="3:15" ht="19.5" customHeight="1">
      <c r="C661" s="66"/>
      <c r="D661" s="64"/>
      <c r="E661" s="61"/>
      <c r="F661" s="62"/>
      <c r="G661" s="61"/>
      <c r="H661" s="68"/>
      <c r="I661" s="49"/>
      <c r="J661" s="49"/>
      <c r="K661" s="49"/>
      <c r="L661" s="49"/>
      <c r="M661" s="49"/>
      <c r="N661" s="49"/>
      <c r="O661" s="49"/>
    </row>
    <row r="662" spans="3:15" ht="19.5" customHeight="1">
      <c r="C662" s="66"/>
      <c r="D662" s="64"/>
      <c r="E662" s="61"/>
      <c r="F662" s="62"/>
      <c r="G662" s="61"/>
      <c r="H662" s="68"/>
      <c r="I662" s="49"/>
      <c r="J662" s="49"/>
      <c r="K662" s="49"/>
      <c r="L662" s="49"/>
      <c r="M662" s="49"/>
      <c r="N662" s="49"/>
      <c r="O662" s="49"/>
    </row>
    <row r="663" spans="3:15" ht="19.5" customHeight="1">
      <c r="C663" s="66"/>
      <c r="D663" s="64"/>
      <c r="E663" s="61"/>
      <c r="F663" s="62"/>
      <c r="G663" s="61"/>
      <c r="H663" s="68"/>
      <c r="I663" s="49"/>
      <c r="J663" s="49"/>
      <c r="K663" s="49"/>
      <c r="L663" s="49"/>
      <c r="M663" s="49"/>
      <c r="N663" s="49"/>
      <c r="O663" s="49"/>
    </row>
    <row r="664" spans="3:15" ht="19.5" customHeight="1">
      <c r="C664" s="66"/>
      <c r="D664" s="64"/>
      <c r="E664" s="61"/>
      <c r="F664" s="62"/>
      <c r="G664" s="61"/>
      <c r="H664" s="68"/>
      <c r="I664" s="49"/>
      <c r="J664" s="49"/>
      <c r="K664" s="49"/>
      <c r="L664" s="49"/>
      <c r="M664" s="49"/>
      <c r="N664" s="49"/>
      <c r="O664" s="49"/>
    </row>
    <row r="665" spans="3:15" ht="19.5" customHeight="1">
      <c r="C665" s="66"/>
      <c r="D665" s="64"/>
      <c r="E665" s="61"/>
      <c r="F665" s="62"/>
      <c r="G665" s="61"/>
      <c r="H665" s="68"/>
      <c r="I665" s="49"/>
      <c r="J665" s="49"/>
      <c r="K665" s="49"/>
      <c r="L665" s="49"/>
      <c r="M665" s="49"/>
      <c r="N665" s="49"/>
      <c r="O665" s="49"/>
    </row>
    <row r="666" spans="3:15" ht="19.5" customHeight="1">
      <c r="C666" s="66"/>
      <c r="D666" s="64"/>
      <c r="E666" s="61"/>
      <c r="F666" s="62"/>
      <c r="G666" s="61"/>
      <c r="H666" s="68"/>
      <c r="I666" s="49"/>
      <c r="J666" s="49"/>
      <c r="K666" s="49"/>
      <c r="L666" s="49"/>
      <c r="M666" s="49"/>
      <c r="N666" s="49"/>
      <c r="O666" s="49"/>
    </row>
    <row r="667" spans="3:15" ht="19.5" customHeight="1">
      <c r="C667" s="66"/>
      <c r="D667" s="64"/>
      <c r="E667" s="61"/>
      <c r="F667" s="62"/>
      <c r="G667" s="61"/>
      <c r="H667" s="68"/>
      <c r="I667" s="49"/>
      <c r="J667" s="49"/>
      <c r="K667" s="49"/>
      <c r="L667" s="49"/>
      <c r="M667" s="49"/>
      <c r="N667" s="49"/>
      <c r="O667" s="49"/>
    </row>
    <row r="668" spans="3:15" ht="19.5" customHeight="1">
      <c r="C668" s="66"/>
      <c r="D668" s="64"/>
      <c r="E668" s="61"/>
      <c r="F668" s="62"/>
      <c r="G668" s="61"/>
      <c r="H668" s="68"/>
      <c r="I668" s="49"/>
      <c r="J668" s="49"/>
      <c r="K668" s="49"/>
      <c r="L668" s="49"/>
      <c r="M668" s="49"/>
      <c r="N668" s="49"/>
      <c r="O668" s="49"/>
    </row>
    <row r="669" spans="3:15" ht="19.5" customHeight="1">
      <c r="C669" s="66"/>
      <c r="D669" s="64"/>
      <c r="E669" s="61"/>
      <c r="F669" s="62"/>
      <c r="G669" s="61"/>
      <c r="H669" s="68"/>
      <c r="I669" s="49"/>
      <c r="J669" s="49"/>
      <c r="K669" s="49"/>
      <c r="L669" s="49"/>
      <c r="M669" s="49"/>
      <c r="N669" s="49"/>
      <c r="O669" s="49"/>
    </row>
    <row r="670" spans="3:15" ht="19.5" customHeight="1">
      <c r="C670" s="66"/>
      <c r="D670" s="64"/>
      <c r="E670" s="61"/>
      <c r="F670" s="62"/>
      <c r="G670" s="61"/>
      <c r="H670" s="68"/>
      <c r="I670" s="49"/>
      <c r="J670" s="49"/>
      <c r="K670" s="49"/>
      <c r="L670" s="49"/>
      <c r="M670" s="49"/>
      <c r="N670" s="49"/>
      <c r="O670" s="49"/>
    </row>
    <row r="671" spans="3:15" ht="19.5" customHeight="1">
      <c r="C671" s="66"/>
      <c r="D671" s="64"/>
      <c r="E671" s="61"/>
      <c r="F671" s="62"/>
      <c r="G671" s="61"/>
      <c r="H671" s="68"/>
      <c r="I671" s="49"/>
      <c r="J671" s="49"/>
      <c r="K671" s="49"/>
      <c r="L671" s="49"/>
      <c r="M671" s="49"/>
      <c r="N671" s="49"/>
      <c r="O671" s="49"/>
    </row>
    <row r="672" spans="3:15" ht="19.5" customHeight="1">
      <c r="C672" s="66"/>
      <c r="D672" s="64"/>
      <c r="E672" s="61"/>
      <c r="F672" s="62"/>
      <c r="G672" s="61"/>
      <c r="H672" s="68"/>
      <c r="I672" s="49"/>
      <c r="J672" s="49"/>
      <c r="K672" s="49"/>
      <c r="L672" s="49"/>
      <c r="M672" s="49"/>
      <c r="N672" s="49"/>
      <c r="O672" s="49"/>
    </row>
    <row r="673" spans="3:15" ht="19.5" customHeight="1">
      <c r="C673" s="66"/>
      <c r="D673" s="64"/>
      <c r="E673" s="61"/>
      <c r="F673" s="62"/>
      <c r="G673" s="61"/>
      <c r="H673" s="68"/>
      <c r="I673" s="49"/>
      <c r="J673" s="49"/>
      <c r="K673" s="49"/>
      <c r="L673" s="49"/>
      <c r="M673" s="49"/>
      <c r="N673" s="49"/>
      <c r="O673" s="49"/>
    </row>
    <row r="674" spans="3:15" ht="19.5" customHeight="1">
      <c r="C674" s="66"/>
      <c r="D674" s="64"/>
      <c r="E674" s="61"/>
      <c r="F674" s="62"/>
      <c r="G674" s="61"/>
      <c r="H674" s="68"/>
      <c r="I674" s="49"/>
      <c r="J674" s="49"/>
      <c r="K674" s="49"/>
      <c r="L674" s="49"/>
      <c r="M674" s="49"/>
      <c r="N674" s="49"/>
      <c r="O674" s="49"/>
    </row>
    <row r="675" spans="3:15" ht="19.5" customHeight="1">
      <c r="C675" s="66"/>
      <c r="D675" s="64"/>
      <c r="E675" s="61"/>
      <c r="F675" s="62"/>
      <c r="G675" s="61"/>
      <c r="H675" s="68"/>
      <c r="I675" s="49"/>
      <c r="J675" s="49"/>
      <c r="K675" s="49"/>
      <c r="L675" s="49"/>
      <c r="M675" s="49"/>
      <c r="N675" s="49"/>
      <c r="O675" s="49"/>
    </row>
    <row r="676" spans="3:15" ht="19.5" customHeight="1">
      <c r="C676" s="66"/>
      <c r="D676" s="64"/>
      <c r="E676" s="61"/>
      <c r="F676" s="62"/>
      <c r="G676" s="61"/>
      <c r="H676" s="68"/>
      <c r="I676" s="49"/>
      <c r="J676" s="49"/>
      <c r="K676" s="49"/>
      <c r="L676" s="49"/>
      <c r="M676" s="49"/>
      <c r="N676" s="49"/>
      <c r="O676" s="49"/>
    </row>
    <row r="677" spans="3:15" ht="19.5" customHeight="1">
      <c r="C677" s="66"/>
      <c r="D677" s="64"/>
      <c r="E677" s="61"/>
      <c r="F677" s="62"/>
      <c r="G677" s="61"/>
      <c r="H677" s="68"/>
      <c r="I677" s="49"/>
      <c r="J677" s="49"/>
      <c r="K677" s="49"/>
      <c r="L677" s="49"/>
      <c r="M677" s="49"/>
      <c r="N677" s="49"/>
      <c r="O677" s="49"/>
    </row>
    <row r="678" spans="3:15" ht="19.5" customHeight="1">
      <c r="C678" s="66"/>
      <c r="D678" s="64"/>
      <c r="E678" s="61"/>
      <c r="F678" s="62"/>
      <c r="G678" s="61"/>
      <c r="H678" s="68"/>
      <c r="I678" s="49"/>
      <c r="J678" s="49"/>
      <c r="K678" s="49"/>
      <c r="L678" s="49"/>
      <c r="M678" s="49"/>
      <c r="N678" s="49"/>
      <c r="O678" s="49"/>
    </row>
    <row r="679" spans="3:15" ht="19.5" customHeight="1">
      <c r="C679" s="66"/>
      <c r="D679" s="64"/>
      <c r="E679" s="61"/>
      <c r="F679" s="62"/>
      <c r="G679" s="61"/>
      <c r="H679" s="68"/>
      <c r="I679" s="49"/>
      <c r="J679" s="49"/>
      <c r="K679" s="49"/>
      <c r="L679" s="49"/>
      <c r="M679" s="49"/>
      <c r="N679" s="49"/>
      <c r="O679" s="49"/>
    </row>
    <row r="680" spans="3:15" ht="19.5" customHeight="1">
      <c r="C680" s="66"/>
      <c r="D680" s="64"/>
      <c r="E680" s="61"/>
      <c r="F680" s="62"/>
      <c r="G680" s="61"/>
      <c r="H680" s="68"/>
      <c r="I680" s="49"/>
      <c r="J680" s="49"/>
      <c r="K680" s="49"/>
      <c r="L680" s="49"/>
      <c r="M680" s="49"/>
      <c r="N680" s="49"/>
      <c r="O680" s="49"/>
    </row>
    <row r="681" spans="3:15" ht="19.5" customHeight="1">
      <c r="C681" s="66"/>
      <c r="D681" s="64"/>
      <c r="E681" s="61"/>
      <c r="F681" s="62"/>
      <c r="G681" s="61"/>
      <c r="H681" s="68"/>
      <c r="I681" s="49"/>
      <c r="J681" s="49"/>
      <c r="K681" s="49"/>
      <c r="L681" s="49"/>
      <c r="M681" s="49"/>
      <c r="N681" s="49"/>
      <c r="O681" s="49"/>
    </row>
    <row r="682" spans="3:15" ht="19.5" customHeight="1">
      <c r="C682" s="66"/>
      <c r="D682" s="64"/>
      <c r="E682" s="61"/>
      <c r="F682" s="62"/>
      <c r="G682" s="61"/>
      <c r="H682" s="68"/>
      <c r="I682" s="49"/>
      <c r="J682" s="49"/>
      <c r="K682" s="49"/>
      <c r="L682" s="49"/>
      <c r="M682" s="49"/>
      <c r="N682" s="49"/>
      <c r="O682" s="49"/>
    </row>
    <row r="683" spans="3:15" ht="19.5" customHeight="1">
      <c r="C683" s="66"/>
      <c r="D683" s="64"/>
      <c r="E683" s="61"/>
      <c r="F683" s="62"/>
      <c r="G683" s="61"/>
      <c r="H683" s="68"/>
      <c r="I683" s="49"/>
      <c r="J683" s="49"/>
      <c r="K683" s="49"/>
      <c r="L683" s="49"/>
      <c r="M683" s="49"/>
      <c r="N683" s="49"/>
      <c r="O683" s="49"/>
    </row>
    <row r="684" spans="3:15" ht="19.5" customHeight="1">
      <c r="C684" s="66"/>
      <c r="D684" s="64"/>
      <c r="E684" s="61"/>
      <c r="F684" s="62"/>
      <c r="G684" s="61"/>
      <c r="H684" s="68"/>
      <c r="I684" s="49"/>
      <c r="J684" s="49"/>
      <c r="K684" s="49"/>
      <c r="L684" s="49"/>
      <c r="M684" s="49"/>
      <c r="N684" s="49"/>
      <c r="O684" s="49"/>
    </row>
    <row r="685" spans="3:15" ht="19.5" customHeight="1">
      <c r="C685" s="66"/>
      <c r="D685" s="64"/>
      <c r="E685" s="61"/>
      <c r="F685" s="62"/>
      <c r="G685" s="61"/>
      <c r="H685" s="68"/>
      <c r="I685" s="49"/>
      <c r="J685" s="49"/>
      <c r="K685" s="49"/>
      <c r="L685" s="49"/>
      <c r="M685" s="49"/>
      <c r="N685" s="49"/>
      <c r="O685" s="49"/>
    </row>
    <row r="686" spans="3:15" ht="19.5" customHeight="1">
      <c r="C686" s="66"/>
      <c r="D686" s="64"/>
      <c r="E686" s="61"/>
      <c r="F686" s="62"/>
      <c r="G686" s="61"/>
      <c r="H686" s="68"/>
      <c r="I686" s="49"/>
      <c r="J686" s="49"/>
      <c r="K686" s="49"/>
      <c r="L686" s="49"/>
      <c r="M686" s="49"/>
      <c r="N686" s="49"/>
      <c r="O686" s="49"/>
    </row>
    <row r="687" spans="3:15" ht="19.5" customHeight="1">
      <c r="C687" s="66"/>
      <c r="D687" s="64"/>
      <c r="E687" s="61"/>
      <c r="F687" s="62"/>
      <c r="G687" s="61"/>
      <c r="H687" s="68"/>
      <c r="I687" s="49"/>
      <c r="J687" s="49"/>
      <c r="K687" s="49"/>
      <c r="L687" s="49"/>
      <c r="M687" s="49"/>
      <c r="N687" s="49"/>
      <c r="O687" s="49"/>
    </row>
    <row r="688" spans="3:15" ht="19.5" customHeight="1">
      <c r="C688" s="66"/>
      <c r="D688" s="64"/>
      <c r="E688" s="61"/>
      <c r="F688" s="62"/>
      <c r="G688" s="61"/>
      <c r="H688" s="68"/>
      <c r="I688" s="49"/>
      <c r="J688" s="49"/>
      <c r="K688" s="49"/>
      <c r="L688" s="49"/>
      <c r="M688" s="49"/>
      <c r="N688" s="49"/>
      <c r="O688" s="49"/>
    </row>
    <row r="689" spans="3:15" ht="19.5" customHeight="1">
      <c r="C689" s="66"/>
      <c r="D689" s="64"/>
      <c r="E689" s="61"/>
      <c r="F689" s="62"/>
      <c r="G689" s="61"/>
      <c r="H689" s="68"/>
      <c r="I689" s="49"/>
      <c r="J689" s="49"/>
      <c r="K689" s="49"/>
      <c r="L689" s="49"/>
      <c r="M689" s="49"/>
      <c r="N689" s="49"/>
      <c r="O689" s="49"/>
    </row>
    <row r="690" spans="3:15" ht="19.5" customHeight="1">
      <c r="C690" s="66"/>
      <c r="D690" s="64"/>
      <c r="E690" s="61"/>
      <c r="F690" s="62"/>
      <c r="G690" s="61"/>
      <c r="H690" s="68"/>
      <c r="I690" s="49"/>
      <c r="J690" s="49"/>
      <c r="K690" s="49"/>
      <c r="L690" s="49"/>
      <c r="M690" s="49"/>
      <c r="N690" s="49"/>
      <c r="O690" s="49"/>
    </row>
    <row r="691" spans="3:15" ht="19.5" customHeight="1">
      <c r="C691" s="66"/>
      <c r="D691" s="64"/>
      <c r="E691" s="61"/>
      <c r="F691" s="62"/>
      <c r="G691" s="61"/>
      <c r="H691" s="68"/>
      <c r="I691" s="49"/>
      <c r="J691" s="49"/>
      <c r="K691" s="49"/>
      <c r="L691" s="49"/>
      <c r="M691" s="49"/>
      <c r="N691" s="49"/>
      <c r="O691" s="49"/>
    </row>
    <row r="692" spans="3:15" ht="19.5" customHeight="1">
      <c r="C692" s="66"/>
      <c r="D692" s="64"/>
      <c r="E692" s="61"/>
      <c r="F692" s="62"/>
      <c r="G692" s="61"/>
      <c r="H692" s="68"/>
      <c r="I692" s="49"/>
      <c r="J692" s="49"/>
      <c r="K692" s="49"/>
      <c r="L692" s="49"/>
      <c r="M692" s="49"/>
      <c r="N692" s="49"/>
      <c r="O692" s="49"/>
    </row>
    <row r="693" spans="3:15" ht="19.5" customHeight="1">
      <c r="C693" s="66"/>
      <c r="D693" s="64"/>
      <c r="E693" s="61"/>
      <c r="F693" s="62"/>
      <c r="G693" s="61"/>
      <c r="H693" s="68"/>
      <c r="I693" s="49"/>
      <c r="J693" s="49"/>
      <c r="K693" s="49"/>
      <c r="L693" s="49"/>
      <c r="M693" s="49"/>
      <c r="N693" s="49"/>
      <c r="O693" s="49"/>
    </row>
    <row r="694" spans="3:15" ht="19.5" customHeight="1">
      <c r="C694" s="66"/>
      <c r="D694" s="64"/>
      <c r="E694" s="61"/>
      <c r="F694" s="62"/>
      <c r="G694" s="61"/>
      <c r="H694" s="68"/>
      <c r="I694" s="49"/>
      <c r="J694" s="49"/>
      <c r="K694" s="49"/>
      <c r="L694" s="49"/>
      <c r="M694" s="49"/>
      <c r="N694" s="49"/>
      <c r="O694" s="49"/>
    </row>
    <row r="695" spans="3:15" ht="19.5" customHeight="1">
      <c r="C695" s="66"/>
      <c r="D695" s="64"/>
      <c r="E695" s="61"/>
      <c r="F695" s="62"/>
      <c r="G695" s="61"/>
      <c r="H695" s="68"/>
      <c r="I695" s="49"/>
      <c r="J695" s="49"/>
      <c r="K695" s="49"/>
      <c r="L695" s="49"/>
      <c r="M695" s="49"/>
      <c r="N695" s="49"/>
      <c r="O695" s="49"/>
    </row>
    <row r="696" spans="3:15" ht="19.5" customHeight="1">
      <c r="C696" s="66"/>
      <c r="D696" s="64"/>
      <c r="E696" s="61"/>
      <c r="F696" s="62"/>
      <c r="G696" s="61"/>
      <c r="H696" s="68"/>
      <c r="I696" s="49"/>
      <c r="J696" s="49"/>
      <c r="K696" s="49"/>
      <c r="L696" s="49"/>
      <c r="M696" s="49"/>
      <c r="N696" s="49"/>
      <c r="O696" s="49"/>
    </row>
    <row r="697" spans="3:15" ht="19.5" customHeight="1">
      <c r="C697" s="66"/>
      <c r="D697" s="64"/>
      <c r="E697" s="61"/>
      <c r="F697" s="62"/>
      <c r="G697" s="61"/>
      <c r="H697" s="68"/>
      <c r="I697" s="49"/>
      <c r="J697" s="49"/>
      <c r="K697" s="49"/>
      <c r="L697" s="49"/>
      <c r="M697" s="49"/>
      <c r="N697" s="49"/>
      <c r="O697" s="49"/>
    </row>
    <row r="698" spans="3:15" ht="19.5" customHeight="1">
      <c r="C698" s="66"/>
      <c r="D698" s="64"/>
      <c r="E698" s="61"/>
      <c r="F698" s="62"/>
      <c r="G698" s="61"/>
      <c r="H698" s="68"/>
      <c r="I698" s="49"/>
      <c r="J698" s="49"/>
      <c r="K698" s="49"/>
      <c r="L698" s="49"/>
      <c r="M698" s="49"/>
      <c r="N698" s="49"/>
      <c r="O698" s="49"/>
    </row>
    <row r="699" spans="3:15" ht="19.5" customHeight="1">
      <c r="C699" s="66"/>
      <c r="D699" s="64"/>
      <c r="E699" s="61"/>
      <c r="F699" s="62"/>
      <c r="G699" s="61"/>
      <c r="H699" s="68"/>
      <c r="I699" s="49"/>
      <c r="J699" s="49"/>
      <c r="K699" s="49"/>
      <c r="L699" s="49"/>
      <c r="M699" s="49"/>
      <c r="N699" s="49"/>
      <c r="O699" s="49"/>
    </row>
    <row r="700" spans="3:15" ht="19.5" customHeight="1">
      <c r="C700" s="66"/>
      <c r="D700" s="64"/>
      <c r="E700" s="61"/>
      <c r="F700" s="62"/>
      <c r="G700" s="61"/>
      <c r="H700" s="68"/>
      <c r="I700" s="49"/>
      <c r="J700" s="49"/>
      <c r="K700" s="49"/>
      <c r="L700" s="49"/>
      <c r="M700" s="49"/>
      <c r="N700" s="49"/>
      <c r="O700" s="49"/>
    </row>
    <row r="701" spans="3:15" ht="19.5" customHeight="1">
      <c r="C701" s="66"/>
      <c r="D701" s="64"/>
      <c r="E701" s="61"/>
      <c r="F701" s="62"/>
      <c r="G701" s="61"/>
      <c r="H701" s="68"/>
      <c r="I701" s="49"/>
      <c r="J701" s="49"/>
      <c r="K701" s="49"/>
      <c r="L701" s="49"/>
      <c r="M701" s="49"/>
      <c r="N701" s="49"/>
      <c r="O701" s="49"/>
    </row>
    <row r="702" spans="3:15" ht="19.5" customHeight="1">
      <c r="C702" s="66"/>
      <c r="D702" s="64"/>
      <c r="E702" s="61"/>
      <c r="F702" s="62"/>
      <c r="G702" s="61"/>
      <c r="H702" s="68"/>
      <c r="I702" s="49"/>
      <c r="J702" s="49"/>
      <c r="K702" s="49"/>
      <c r="L702" s="49"/>
      <c r="M702" s="49"/>
      <c r="N702" s="49"/>
      <c r="O702" s="49"/>
    </row>
    <row r="703" spans="3:15" ht="19.5" customHeight="1">
      <c r="C703" s="66"/>
      <c r="D703" s="64"/>
      <c r="E703" s="61"/>
      <c r="F703" s="62"/>
      <c r="G703" s="61"/>
      <c r="H703" s="68"/>
      <c r="I703" s="49"/>
      <c r="J703" s="49"/>
      <c r="K703" s="49"/>
      <c r="L703" s="49"/>
      <c r="M703" s="49"/>
      <c r="N703" s="49"/>
      <c r="O703" s="49"/>
    </row>
    <row r="704" spans="3:15" ht="19.5" customHeight="1">
      <c r="C704" s="66"/>
      <c r="D704" s="64"/>
      <c r="E704" s="61"/>
      <c r="F704" s="62"/>
      <c r="G704" s="61"/>
      <c r="H704" s="68"/>
      <c r="I704" s="49"/>
      <c r="J704" s="49"/>
      <c r="K704" s="49"/>
      <c r="L704" s="49"/>
      <c r="M704" s="49"/>
      <c r="N704" s="49"/>
      <c r="O704" s="49"/>
    </row>
    <row r="705" spans="3:15" ht="19.5" customHeight="1">
      <c r="C705" s="66"/>
      <c r="D705" s="64"/>
      <c r="E705" s="61"/>
      <c r="F705" s="62"/>
      <c r="G705" s="61"/>
      <c r="H705" s="68"/>
      <c r="I705" s="49"/>
      <c r="J705" s="49"/>
      <c r="K705" s="49"/>
      <c r="L705" s="49"/>
      <c r="M705" s="49"/>
      <c r="N705" s="49"/>
      <c r="O705" s="49"/>
    </row>
    <row r="706" spans="3:15" ht="19.5" customHeight="1">
      <c r="C706" s="66"/>
      <c r="D706" s="64"/>
      <c r="E706" s="61"/>
      <c r="F706" s="62"/>
      <c r="G706" s="61"/>
      <c r="H706" s="68"/>
      <c r="I706" s="49"/>
      <c r="J706" s="49"/>
      <c r="K706" s="49"/>
      <c r="L706" s="49"/>
      <c r="M706" s="49"/>
      <c r="N706" s="49"/>
      <c r="O706" s="49"/>
    </row>
    <row r="707" spans="3:15" ht="19.5" customHeight="1">
      <c r="C707" s="66"/>
      <c r="D707" s="64"/>
      <c r="E707" s="61"/>
      <c r="F707" s="62"/>
      <c r="G707" s="61"/>
      <c r="H707" s="68"/>
      <c r="I707" s="49"/>
      <c r="J707" s="49"/>
      <c r="K707" s="49"/>
      <c r="L707" s="49"/>
      <c r="M707" s="49"/>
      <c r="N707" s="49"/>
      <c r="O707" s="49"/>
    </row>
    <row r="708" spans="3:15" ht="19.5" customHeight="1">
      <c r="C708" s="66"/>
      <c r="D708" s="64"/>
      <c r="E708" s="61"/>
      <c r="F708" s="62"/>
      <c r="G708" s="61"/>
      <c r="H708" s="68"/>
      <c r="I708" s="49"/>
      <c r="J708" s="49"/>
      <c r="K708" s="49"/>
      <c r="L708" s="49"/>
      <c r="M708" s="49"/>
      <c r="N708" s="49"/>
      <c r="O708" s="49"/>
    </row>
    <row r="709" spans="3:15" ht="19.5" customHeight="1">
      <c r="C709" s="66"/>
      <c r="D709" s="64"/>
      <c r="E709" s="61"/>
      <c r="F709" s="62"/>
      <c r="G709" s="61"/>
      <c r="H709" s="68"/>
      <c r="I709" s="49"/>
      <c r="J709" s="49"/>
      <c r="K709" s="49"/>
      <c r="L709" s="49"/>
      <c r="M709" s="49"/>
      <c r="N709" s="49"/>
      <c r="O709" s="49"/>
    </row>
    <row r="710" spans="3:15" ht="19.5" customHeight="1">
      <c r="C710" s="66"/>
      <c r="D710" s="64"/>
      <c r="E710" s="61"/>
      <c r="F710" s="62"/>
      <c r="G710" s="61"/>
      <c r="H710" s="68"/>
      <c r="I710" s="49"/>
      <c r="J710" s="49"/>
      <c r="K710" s="49"/>
      <c r="L710" s="49"/>
      <c r="M710" s="49"/>
      <c r="N710" s="49"/>
      <c r="O710" s="49"/>
    </row>
    <row r="711" spans="3:15" ht="19.5" customHeight="1">
      <c r="C711" s="66"/>
      <c r="D711" s="64"/>
      <c r="E711" s="61"/>
      <c r="F711" s="62"/>
      <c r="G711" s="61"/>
      <c r="H711" s="68"/>
      <c r="I711" s="49"/>
      <c r="J711" s="49"/>
      <c r="K711" s="49"/>
      <c r="L711" s="49"/>
      <c r="M711" s="49"/>
      <c r="N711" s="49"/>
      <c r="O711" s="49"/>
    </row>
    <row r="712" spans="3:15" ht="19.5" customHeight="1">
      <c r="C712" s="66"/>
      <c r="D712" s="64"/>
      <c r="E712" s="61"/>
      <c r="F712" s="62"/>
      <c r="G712" s="61"/>
      <c r="H712" s="68"/>
      <c r="I712" s="49"/>
      <c r="J712" s="49"/>
      <c r="K712" s="49"/>
      <c r="L712" s="49"/>
      <c r="M712" s="49"/>
      <c r="N712" s="49"/>
      <c r="O712" s="49"/>
    </row>
    <row r="713" spans="3:15" ht="19.5" customHeight="1">
      <c r="C713" s="66"/>
      <c r="D713" s="64"/>
      <c r="E713" s="61"/>
      <c r="F713" s="62"/>
      <c r="G713" s="61"/>
      <c r="H713" s="68"/>
      <c r="I713" s="49"/>
      <c r="J713" s="49"/>
      <c r="K713" s="49"/>
      <c r="L713" s="49"/>
      <c r="M713" s="49"/>
      <c r="N713" s="49"/>
      <c r="O713" s="49"/>
    </row>
    <row r="714" spans="3:15" ht="19.5" customHeight="1">
      <c r="C714" s="66"/>
      <c r="D714" s="64"/>
      <c r="E714" s="61"/>
      <c r="F714" s="62"/>
      <c r="G714" s="61"/>
      <c r="H714" s="68"/>
      <c r="I714" s="49"/>
      <c r="J714" s="49"/>
      <c r="K714" s="49"/>
      <c r="L714" s="49"/>
      <c r="M714" s="49"/>
      <c r="N714" s="49"/>
      <c r="O714" s="49"/>
    </row>
    <row r="715" spans="3:15" ht="19.5" customHeight="1">
      <c r="C715" s="66"/>
      <c r="D715" s="64"/>
      <c r="E715" s="61"/>
      <c r="F715" s="62"/>
      <c r="G715" s="61"/>
      <c r="H715" s="68"/>
      <c r="I715" s="49"/>
      <c r="J715" s="49"/>
      <c r="K715" s="49"/>
      <c r="L715" s="49"/>
      <c r="M715" s="49"/>
      <c r="N715" s="49"/>
      <c r="O715" s="49"/>
    </row>
    <row r="716" spans="3:15" ht="19.5" customHeight="1">
      <c r="C716" s="66"/>
      <c r="D716" s="64"/>
      <c r="E716" s="61"/>
      <c r="F716" s="62"/>
      <c r="G716" s="61"/>
      <c r="H716" s="68"/>
      <c r="I716" s="49"/>
      <c r="J716" s="49"/>
      <c r="K716" s="49"/>
      <c r="L716" s="49"/>
      <c r="M716" s="49"/>
      <c r="N716" s="49"/>
      <c r="O716" s="49"/>
    </row>
    <row r="717" spans="3:15" ht="19.5" customHeight="1">
      <c r="C717" s="66"/>
      <c r="D717" s="64"/>
      <c r="E717" s="61"/>
      <c r="F717" s="62"/>
      <c r="G717" s="61"/>
      <c r="H717" s="68"/>
      <c r="I717" s="49"/>
      <c r="J717" s="49"/>
      <c r="K717" s="49"/>
      <c r="L717" s="49"/>
      <c r="M717" s="49"/>
      <c r="N717" s="49"/>
      <c r="O717" s="49"/>
    </row>
    <row r="718" spans="3:15" ht="19.5" customHeight="1">
      <c r="C718" s="66"/>
      <c r="D718" s="64"/>
      <c r="E718" s="61"/>
      <c r="F718" s="62"/>
      <c r="G718" s="61"/>
      <c r="H718" s="68"/>
      <c r="I718" s="49"/>
      <c r="J718" s="49"/>
      <c r="K718" s="49"/>
      <c r="L718" s="49"/>
      <c r="M718" s="49"/>
      <c r="N718" s="49"/>
      <c r="O718" s="49"/>
    </row>
    <row r="719" spans="3:15" ht="19.5" customHeight="1">
      <c r="C719" s="66"/>
      <c r="D719" s="64"/>
      <c r="E719" s="61"/>
      <c r="F719" s="62"/>
      <c r="G719" s="61"/>
      <c r="H719" s="68"/>
      <c r="I719" s="49"/>
      <c r="J719" s="49"/>
      <c r="K719" s="49"/>
      <c r="L719" s="49"/>
      <c r="M719" s="49"/>
      <c r="N719" s="49"/>
      <c r="O719" s="49"/>
    </row>
    <row r="720" spans="3:15" ht="19.5" customHeight="1">
      <c r="C720" s="66"/>
      <c r="D720" s="64"/>
      <c r="E720" s="61"/>
      <c r="F720" s="62"/>
      <c r="G720" s="61"/>
      <c r="H720" s="68"/>
      <c r="I720" s="49"/>
      <c r="J720" s="49"/>
      <c r="K720" s="49"/>
      <c r="L720" s="49"/>
      <c r="M720" s="49"/>
      <c r="N720" s="49"/>
      <c r="O720" s="49"/>
    </row>
    <row r="721" spans="3:15" ht="19.5" customHeight="1">
      <c r="C721" s="66"/>
      <c r="D721" s="64"/>
      <c r="E721" s="61"/>
      <c r="F721" s="62"/>
      <c r="G721" s="61"/>
      <c r="H721" s="68"/>
      <c r="I721" s="49"/>
      <c r="J721" s="49"/>
      <c r="K721" s="49"/>
      <c r="L721" s="49"/>
      <c r="M721" s="49"/>
      <c r="N721" s="49"/>
      <c r="O721" s="49"/>
    </row>
    <row r="722" spans="3:15" ht="19.5" customHeight="1">
      <c r="C722" s="66"/>
      <c r="D722" s="64"/>
      <c r="E722" s="61"/>
      <c r="F722" s="62"/>
      <c r="G722" s="61"/>
      <c r="H722" s="68"/>
      <c r="I722" s="49"/>
      <c r="J722" s="49"/>
      <c r="K722" s="49"/>
      <c r="L722" s="49"/>
      <c r="M722" s="49"/>
      <c r="N722" s="49"/>
      <c r="O722" s="49"/>
    </row>
    <row r="723" spans="3:15" ht="19.5" customHeight="1">
      <c r="C723" s="66"/>
      <c r="D723" s="64"/>
      <c r="E723" s="61"/>
      <c r="F723" s="62"/>
      <c r="G723" s="61"/>
      <c r="H723" s="68"/>
      <c r="I723" s="49"/>
      <c r="J723" s="49"/>
      <c r="K723" s="49"/>
      <c r="L723" s="49"/>
      <c r="M723" s="49"/>
      <c r="N723" s="49"/>
      <c r="O723" s="49"/>
    </row>
    <row r="724" spans="3:15" ht="19.5" customHeight="1">
      <c r="C724" s="66"/>
      <c r="D724" s="64"/>
      <c r="E724" s="61"/>
      <c r="F724" s="62"/>
      <c r="G724" s="61"/>
      <c r="H724" s="68"/>
      <c r="I724" s="49"/>
      <c r="J724" s="49"/>
      <c r="K724" s="49"/>
      <c r="L724" s="49"/>
      <c r="M724" s="49"/>
      <c r="N724" s="49"/>
      <c r="O724" s="49"/>
    </row>
    <row r="725" spans="3:15" ht="19.5" customHeight="1">
      <c r="C725" s="66"/>
      <c r="D725" s="64"/>
      <c r="E725" s="61"/>
      <c r="F725" s="62"/>
      <c r="G725" s="61"/>
      <c r="H725" s="68"/>
      <c r="I725" s="49"/>
      <c r="J725" s="49"/>
      <c r="K725" s="49"/>
      <c r="L725" s="49"/>
      <c r="M725" s="49"/>
      <c r="N725" s="49"/>
      <c r="O725" s="49"/>
    </row>
    <row r="726" spans="3:15" ht="19.5" customHeight="1">
      <c r="C726" s="66"/>
      <c r="D726" s="64"/>
      <c r="E726" s="61"/>
      <c r="F726" s="62"/>
      <c r="G726" s="61"/>
      <c r="H726" s="68"/>
      <c r="I726" s="49"/>
      <c r="J726" s="49"/>
      <c r="K726" s="49"/>
      <c r="L726" s="49"/>
      <c r="M726" s="49"/>
      <c r="N726" s="49"/>
      <c r="O726" s="49"/>
    </row>
    <row r="727" spans="3:15" ht="19.5" customHeight="1">
      <c r="C727" s="66"/>
      <c r="D727" s="64"/>
      <c r="E727" s="61"/>
      <c r="F727" s="62"/>
      <c r="G727" s="61"/>
      <c r="H727" s="68"/>
      <c r="I727" s="49"/>
      <c r="J727" s="49"/>
      <c r="K727" s="49"/>
      <c r="L727" s="49"/>
      <c r="M727" s="49"/>
      <c r="N727" s="49"/>
      <c r="O727" s="49"/>
    </row>
    <row r="728" spans="3:15" ht="19.5" customHeight="1">
      <c r="C728" s="66"/>
      <c r="D728" s="64"/>
      <c r="E728" s="61"/>
      <c r="F728" s="62"/>
      <c r="G728" s="61"/>
      <c r="H728" s="68"/>
      <c r="I728" s="49"/>
      <c r="J728" s="49"/>
      <c r="K728" s="49"/>
      <c r="L728" s="49"/>
      <c r="M728" s="49"/>
      <c r="N728" s="49"/>
      <c r="O728" s="49"/>
    </row>
    <row r="729" spans="3:15" ht="19.5" customHeight="1">
      <c r="C729" s="66"/>
      <c r="D729" s="64"/>
      <c r="E729" s="61"/>
      <c r="F729" s="62"/>
      <c r="G729" s="61"/>
      <c r="H729" s="68"/>
      <c r="I729" s="49"/>
      <c r="J729" s="49"/>
      <c r="K729" s="49"/>
      <c r="L729" s="49"/>
      <c r="M729" s="49"/>
      <c r="N729" s="49"/>
      <c r="O729" s="49"/>
    </row>
    <row r="730" spans="3:15" ht="19.5" customHeight="1">
      <c r="C730" s="66"/>
      <c r="D730" s="64"/>
      <c r="E730" s="61"/>
      <c r="F730" s="62"/>
      <c r="G730" s="61"/>
      <c r="H730" s="68"/>
      <c r="I730" s="49"/>
      <c r="J730" s="49"/>
      <c r="K730" s="49"/>
      <c r="L730" s="49"/>
      <c r="M730" s="49"/>
      <c r="N730" s="49"/>
      <c r="O730" s="49"/>
    </row>
    <row r="731" spans="3:15" ht="19.5" customHeight="1">
      <c r="C731" s="66"/>
      <c r="D731" s="64"/>
      <c r="E731" s="61"/>
      <c r="F731" s="62"/>
      <c r="G731" s="61"/>
      <c r="H731" s="68"/>
      <c r="I731" s="49"/>
      <c r="J731" s="49"/>
      <c r="K731" s="49"/>
      <c r="L731" s="49"/>
      <c r="M731" s="49"/>
      <c r="N731" s="49"/>
      <c r="O731" s="49"/>
    </row>
    <row r="732" spans="3:15" ht="19.5" customHeight="1">
      <c r="C732" s="66"/>
      <c r="D732" s="64"/>
      <c r="E732" s="61"/>
      <c r="F732" s="62"/>
      <c r="G732" s="61"/>
      <c r="H732" s="68"/>
      <c r="I732" s="49"/>
      <c r="J732" s="49"/>
      <c r="K732" s="49"/>
      <c r="L732" s="49"/>
      <c r="M732" s="49"/>
      <c r="N732" s="49"/>
      <c r="O732" s="49"/>
    </row>
    <row r="733" spans="3:15" ht="19.5" customHeight="1">
      <c r="C733" s="66"/>
      <c r="D733" s="64"/>
      <c r="E733" s="61"/>
      <c r="F733" s="62"/>
      <c r="G733" s="61"/>
      <c r="H733" s="68"/>
      <c r="I733" s="49"/>
      <c r="J733" s="49"/>
      <c r="K733" s="49"/>
      <c r="L733" s="49"/>
      <c r="M733" s="49"/>
      <c r="N733" s="49"/>
      <c r="O733" s="49"/>
    </row>
    <row r="734" spans="3:15" ht="19.5" customHeight="1">
      <c r="C734" s="66"/>
      <c r="D734" s="64"/>
      <c r="E734" s="61"/>
      <c r="F734" s="62"/>
      <c r="G734" s="61"/>
      <c r="H734" s="68"/>
      <c r="I734" s="49"/>
      <c r="J734" s="49"/>
      <c r="K734" s="49"/>
      <c r="L734" s="49"/>
      <c r="M734" s="49"/>
      <c r="N734" s="49"/>
      <c r="O734" s="49"/>
    </row>
    <row r="735" spans="3:15" ht="19.5" customHeight="1">
      <c r="C735" s="66"/>
      <c r="D735" s="64"/>
      <c r="E735" s="61"/>
      <c r="F735" s="62"/>
      <c r="G735" s="61"/>
      <c r="H735" s="68"/>
      <c r="I735" s="49"/>
      <c r="J735" s="49"/>
      <c r="K735" s="49"/>
      <c r="L735" s="49"/>
      <c r="M735" s="49"/>
      <c r="N735" s="49"/>
      <c r="O735" s="49"/>
    </row>
    <row r="736" spans="3:15" ht="19.5" customHeight="1">
      <c r="C736" s="66"/>
      <c r="D736" s="64"/>
      <c r="E736" s="61"/>
      <c r="F736" s="62"/>
      <c r="G736" s="61"/>
      <c r="H736" s="68"/>
      <c r="I736" s="49"/>
      <c r="J736" s="49"/>
      <c r="K736" s="49"/>
      <c r="L736" s="49"/>
      <c r="M736" s="49"/>
      <c r="N736" s="49"/>
      <c r="O736" s="49"/>
    </row>
    <row r="737" spans="3:15" ht="19.5" customHeight="1">
      <c r="C737" s="66"/>
      <c r="D737" s="64"/>
      <c r="E737" s="61"/>
      <c r="F737" s="62"/>
      <c r="G737" s="61"/>
      <c r="H737" s="68"/>
      <c r="I737" s="49"/>
      <c r="J737" s="49"/>
      <c r="K737" s="49"/>
      <c r="L737" s="49"/>
      <c r="M737" s="49"/>
      <c r="N737" s="49"/>
      <c r="O737" s="49"/>
    </row>
    <row r="738" spans="3:15" ht="19.5" customHeight="1">
      <c r="C738" s="66"/>
      <c r="D738" s="64"/>
      <c r="E738" s="61"/>
      <c r="F738" s="62"/>
      <c r="G738" s="61"/>
      <c r="H738" s="68"/>
      <c r="I738" s="49"/>
      <c r="J738" s="49"/>
      <c r="K738" s="49"/>
      <c r="L738" s="49"/>
      <c r="M738" s="49"/>
      <c r="N738" s="49"/>
      <c r="O738" s="49"/>
    </row>
    <row r="739" spans="3:15" ht="19.5" customHeight="1">
      <c r="C739" s="66"/>
      <c r="D739" s="64"/>
      <c r="E739" s="61"/>
      <c r="F739" s="62"/>
      <c r="G739" s="61"/>
      <c r="H739" s="68"/>
      <c r="I739" s="49"/>
      <c r="J739" s="49"/>
      <c r="K739" s="49"/>
      <c r="L739" s="49"/>
      <c r="M739" s="49"/>
      <c r="N739" s="49"/>
      <c r="O739" s="49"/>
    </row>
    <row r="740" spans="3:15" ht="19.5" customHeight="1">
      <c r="C740" s="66"/>
      <c r="D740" s="64"/>
      <c r="E740" s="61"/>
      <c r="F740" s="62"/>
      <c r="G740" s="61"/>
      <c r="H740" s="68"/>
      <c r="I740" s="49"/>
      <c r="J740" s="49"/>
      <c r="K740" s="49"/>
      <c r="L740" s="49"/>
      <c r="M740" s="49"/>
      <c r="N740" s="49"/>
      <c r="O740" s="49"/>
    </row>
    <row r="741" spans="3:15" ht="19.5" customHeight="1">
      <c r="C741" s="66"/>
      <c r="D741" s="64"/>
      <c r="E741" s="61"/>
      <c r="F741" s="62"/>
      <c r="G741" s="61"/>
      <c r="H741" s="68"/>
      <c r="I741" s="49"/>
      <c r="J741" s="49"/>
      <c r="K741" s="49"/>
      <c r="L741" s="49"/>
      <c r="M741" s="49"/>
      <c r="N741" s="49"/>
      <c r="O741" s="49"/>
    </row>
    <row r="742" spans="3:15" ht="19.5" customHeight="1">
      <c r="C742" s="66"/>
      <c r="D742" s="64"/>
      <c r="E742" s="61"/>
      <c r="F742" s="62"/>
      <c r="G742" s="61"/>
      <c r="H742" s="68"/>
      <c r="I742" s="49"/>
      <c r="J742" s="49"/>
      <c r="K742" s="49"/>
      <c r="L742" s="49"/>
      <c r="M742" s="49"/>
      <c r="N742" s="49"/>
      <c r="O742" s="49"/>
    </row>
    <row r="743" spans="3:15" ht="19.5" customHeight="1">
      <c r="C743" s="66"/>
      <c r="D743" s="64"/>
      <c r="E743" s="61"/>
      <c r="F743" s="62"/>
      <c r="G743" s="61"/>
      <c r="H743" s="68"/>
      <c r="I743" s="49"/>
      <c r="J743" s="49"/>
      <c r="K743" s="49"/>
      <c r="L743" s="49"/>
      <c r="M743" s="49"/>
      <c r="N743" s="49"/>
      <c r="O743" s="49"/>
    </row>
    <row r="744" spans="3:15" ht="19.5" customHeight="1">
      <c r="C744" s="66"/>
      <c r="D744" s="64"/>
      <c r="E744" s="61"/>
      <c r="F744" s="62"/>
      <c r="G744" s="61"/>
      <c r="H744" s="68"/>
      <c r="I744" s="49"/>
      <c r="J744" s="49"/>
      <c r="K744" s="49"/>
      <c r="L744" s="49"/>
      <c r="M744" s="49"/>
      <c r="N744" s="49"/>
      <c r="O744" s="49"/>
    </row>
    <row r="745" spans="3:15" ht="19.5" customHeight="1">
      <c r="C745" s="66"/>
      <c r="D745" s="64"/>
      <c r="E745" s="61"/>
      <c r="F745" s="62"/>
      <c r="G745" s="61"/>
      <c r="H745" s="68"/>
      <c r="I745" s="49"/>
      <c r="J745" s="49"/>
      <c r="K745" s="49"/>
      <c r="L745" s="49"/>
      <c r="M745" s="49"/>
      <c r="N745" s="49"/>
      <c r="O745" s="49"/>
    </row>
    <row r="746" spans="3:15" ht="19.5" customHeight="1">
      <c r="C746" s="66"/>
      <c r="D746" s="64"/>
      <c r="E746" s="61"/>
      <c r="F746" s="62"/>
      <c r="G746" s="61"/>
      <c r="H746" s="68"/>
      <c r="I746" s="49"/>
      <c r="J746" s="49"/>
      <c r="K746" s="49"/>
      <c r="L746" s="49"/>
      <c r="M746" s="49"/>
      <c r="N746" s="49"/>
      <c r="O746" s="49"/>
    </row>
    <row r="747" spans="3:15" ht="19.5" customHeight="1">
      <c r="C747" s="66"/>
      <c r="D747" s="64"/>
      <c r="E747" s="61"/>
      <c r="F747" s="62"/>
      <c r="G747" s="61"/>
      <c r="H747" s="68"/>
      <c r="I747" s="49"/>
      <c r="J747" s="49"/>
      <c r="K747" s="49"/>
      <c r="L747" s="49"/>
      <c r="M747" s="49"/>
      <c r="N747" s="49"/>
      <c r="O747" s="49"/>
    </row>
    <row r="748" spans="3:15" ht="19.5" customHeight="1">
      <c r="C748" s="66"/>
      <c r="D748" s="64"/>
      <c r="E748" s="61"/>
      <c r="F748" s="62"/>
      <c r="G748" s="61"/>
      <c r="H748" s="68"/>
      <c r="I748" s="49"/>
      <c r="J748" s="49"/>
      <c r="K748" s="49"/>
      <c r="L748" s="49"/>
      <c r="M748" s="49"/>
      <c r="N748" s="49"/>
      <c r="O748" s="49"/>
    </row>
    <row r="749" spans="3:15" ht="19.5" customHeight="1">
      <c r="C749" s="66"/>
      <c r="D749" s="64"/>
      <c r="E749" s="61"/>
      <c r="F749" s="62"/>
      <c r="G749" s="61"/>
      <c r="H749" s="68"/>
      <c r="I749" s="49"/>
      <c r="J749" s="49"/>
      <c r="K749" s="49"/>
      <c r="L749" s="49"/>
      <c r="M749" s="49"/>
      <c r="N749" s="49"/>
      <c r="O749" s="49"/>
    </row>
    <row r="750" spans="3:15" ht="19.5" customHeight="1">
      <c r="C750" s="66"/>
      <c r="D750" s="64"/>
      <c r="E750" s="61"/>
      <c r="F750" s="62"/>
      <c r="G750" s="61"/>
      <c r="H750" s="68"/>
      <c r="I750" s="49"/>
      <c r="J750" s="49"/>
      <c r="K750" s="49"/>
      <c r="L750" s="49"/>
      <c r="M750" s="49"/>
      <c r="N750" s="49"/>
      <c r="O750" s="49"/>
    </row>
    <row r="751" spans="3:15" ht="19.5" customHeight="1">
      <c r="C751" s="66"/>
      <c r="D751" s="64"/>
      <c r="E751" s="61"/>
      <c r="F751" s="62"/>
      <c r="G751" s="61"/>
      <c r="H751" s="68"/>
      <c r="I751" s="49"/>
      <c r="J751" s="49"/>
      <c r="K751" s="49"/>
      <c r="L751" s="49"/>
      <c r="M751" s="49"/>
      <c r="N751" s="49"/>
      <c r="O751" s="49"/>
    </row>
    <row r="752" spans="3:15" ht="19.5" customHeight="1">
      <c r="C752" s="66"/>
      <c r="D752" s="64"/>
      <c r="E752" s="61"/>
      <c r="F752" s="62"/>
      <c r="G752" s="61"/>
      <c r="H752" s="68"/>
      <c r="I752" s="49"/>
      <c r="J752" s="49"/>
      <c r="K752" s="49"/>
      <c r="L752" s="49"/>
      <c r="M752" s="49"/>
      <c r="N752" s="49"/>
      <c r="O752" s="49"/>
    </row>
    <row r="753" spans="3:15" ht="19.5" customHeight="1">
      <c r="C753" s="66"/>
      <c r="D753" s="64"/>
      <c r="E753" s="61"/>
      <c r="F753" s="62"/>
      <c r="G753" s="61"/>
      <c r="H753" s="68"/>
      <c r="I753" s="49"/>
      <c r="J753" s="49"/>
      <c r="K753" s="49"/>
      <c r="L753" s="49"/>
      <c r="M753" s="49"/>
      <c r="N753" s="49"/>
      <c r="O753" s="49"/>
    </row>
    <row r="754" spans="3:15" ht="19.5" customHeight="1">
      <c r="C754" s="66"/>
      <c r="D754" s="64"/>
      <c r="E754" s="61"/>
      <c r="F754" s="62"/>
      <c r="G754" s="61"/>
      <c r="H754" s="68"/>
      <c r="I754" s="49"/>
      <c r="J754" s="49"/>
      <c r="K754" s="49"/>
      <c r="L754" s="49"/>
      <c r="M754" s="49"/>
      <c r="N754" s="49"/>
      <c r="O754" s="49"/>
    </row>
    <row r="755" spans="3:15" ht="19.5" customHeight="1">
      <c r="C755" s="66"/>
      <c r="D755" s="64"/>
      <c r="E755" s="61"/>
      <c r="F755" s="62"/>
      <c r="G755" s="61"/>
      <c r="H755" s="68"/>
      <c r="I755" s="49"/>
      <c r="J755" s="49"/>
      <c r="K755" s="49"/>
      <c r="L755" s="49"/>
      <c r="M755" s="49"/>
      <c r="N755" s="49"/>
      <c r="O755" s="49"/>
    </row>
    <row r="756" spans="3:15" ht="19.5" customHeight="1">
      <c r="C756" s="66"/>
      <c r="D756" s="64"/>
      <c r="E756" s="61"/>
      <c r="F756" s="62"/>
      <c r="G756" s="61"/>
      <c r="H756" s="68"/>
      <c r="I756" s="49"/>
      <c r="J756" s="49"/>
      <c r="K756" s="49"/>
      <c r="L756" s="49"/>
      <c r="M756" s="49"/>
      <c r="N756" s="49"/>
      <c r="O756" s="49"/>
    </row>
    <row r="757" spans="3:15" ht="19.5" customHeight="1">
      <c r="C757" s="66"/>
      <c r="D757" s="64"/>
      <c r="E757" s="61"/>
      <c r="F757" s="62"/>
      <c r="G757" s="61"/>
      <c r="H757" s="68"/>
      <c r="I757" s="49"/>
      <c r="J757" s="49"/>
      <c r="K757" s="49"/>
      <c r="L757" s="49"/>
      <c r="M757" s="49"/>
      <c r="N757" s="49"/>
      <c r="O757" s="49"/>
    </row>
    <row r="758" spans="3:15" ht="19.5" customHeight="1">
      <c r="C758" s="66"/>
      <c r="D758" s="64"/>
      <c r="E758" s="61"/>
      <c r="F758" s="62"/>
      <c r="G758" s="61"/>
      <c r="H758" s="68"/>
      <c r="I758" s="49"/>
      <c r="J758" s="49"/>
      <c r="K758" s="49"/>
      <c r="L758" s="49"/>
      <c r="M758" s="49"/>
      <c r="N758" s="49"/>
      <c r="O758" s="49"/>
    </row>
    <row r="759" spans="3:15" ht="19.5" customHeight="1">
      <c r="C759" s="66"/>
      <c r="D759" s="64"/>
      <c r="E759" s="61"/>
      <c r="F759" s="62"/>
      <c r="G759" s="61"/>
      <c r="H759" s="68"/>
      <c r="I759" s="49"/>
      <c r="J759" s="49"/>
      <c r="K759" s="49"/>
      <c r="L759" s="49"/>
      <c r="M759" s="49"/>
      <c r="N759" s="49"/>
      <c r="O759" s="49"/>
    </row>
    <row r="760" spans="3:15" ht="19.5" customHeight="1">
      <c r="C760" s="66"/>
      <c r="D760" s="64"/>
      <c r="E760" s="61"/>
      <c r="F760" s="62"/>
      <c r="G760" s="61"/>
      <c r="H760" s="68"/>
      <c r="I760" s="49"/>
      <c r="J760" s="49"/>
      <c r="K760" s="49"/>
      <c r="L760" s="49"/>
      <c r="M760" s="49"/>
      <c r="N760" s="49"/>
      <c r="O760" s="49"/>
    </row>
    <row r="761" spans="3:15" ht="19.5" customHeight="1">
      <c r="C761" s="66"/>
      <c r="D761" s="64"/>
      <c r="E761" s="61"/>
      <c r="F761" s="62"/>
      <c r="G761" s="61"/>
      <c r="H761" s="68"/>
      <c r="I761" s="49"/>
      <c r="J761" s="49"/>
      <c r="K761" s="49"/>
      <c r="L761" s="49"/>
      <c r="M761" s="49"/>
      <c r="N761" s="49"/>
      <c r="O761" s="49"/>
    </row>
    <row r="762" spans="3:15" ht="19.5" customHeight="1">
      <c r="C762" s="66"/>
      <c r="D762" s="64"/>
      <c r="E762" s="61"/>
      <c r="F762" s="62"/>
      <c r="G762" s="61"/>
      <c r="H762" s="68"/>
      <c r="I762" s="49"/>
      <c r="J762" s="49"/>
      <c r="K762" s="49"/>
      <c r="L762" s="49"/>
      <c r="M762" s="49"/>
      <c r="N762" s="49"/>
      <c r="O762" s="49"/>
    </row>
    <row r="763" spans="3:15" ht="19.5" customHeight="1">
      <c r="C763" s="66"/>
      <c r="D763" s="64"/>
      <c r="E763" s="61"/>
      <c r="F763" s="62"/>
      <c r="G763" s="61"/>
      <c r="H763" s="68"/>
      <c r="I763" s="49"/>
      <c r="J763" s="49"/>
      <c r="K763" s="49"/>
      <c r="L763" s="49"/>
      <c r="M763" s="49"/>
      <c r="N763" s="49"/>
      <c r="O763" s="49"/>
    </row>
    <row r="764" spans="3:15" ht="19.5" customHeight="1">
      <c r="C764" s="66"/>
      <c r="D764" s="64"/>
      <c r="E764" s="61"/>
      <c r="F764" s="62"/>
      <c r="G764" s="61"/>
      <c r="H764" s="68"/>
      <c r="I764" s="49"/>
      <c r="J764" s="49"/>
      <c r="K764" s="49"/>
      <c r="L764" s="49"/>
      <c r="M764" s="49"/>
      <c r="N764" s="49"/>
      <c r="O764" s="49"/>
    </row>
    <row r="765" spans="3:15" ht="19.5" customHeight="1">
      <c r="C765" s="66"/>
      <c r="D765" s="64"/>
      <c r="E765" s="61"/>
      <c r="F765" s="62"/>
      <c r="G765" s="61"/>
      <c r="H765" s="68"/>
      <c r="I765" s="49"/>
      <c r="J765" s="49"/>
      <c r="K765" s="49"/>
      <c r="L765" s="49"/>
      <c r="M765" s="49"/>
      <c r="N765" s="49"/>
      <c r="O765" s="49"/>
    </row>
    <row r="766" spans="3:15" ht="19.5" customHeight="1">
      <c r="C766" s="66"/>
      <c r="D766" s="64"/>
      <c r="E766" s="61"/>
      <c r="F766" s="62"/>
      <c r="G766" s="61"/>
      <c r="H766" s="68"/>
      <c r="I766" s="49"/>
      <c r="J766" s="49"/>
      <c r="K766" s="49"/>
      <c r="L766" s="49"/>
      <c r="M766" s="49"/>
      <c r="N766" s="49"/>
      <c r="O766" s="49"/>
    </row>
    <row r="767" spans="3:15" ht="19.5" customHeight="1">
      <c r="C767" s="66"/>
      <c r="D767" s="64"/>
      <c r="E767" s="61"/>
      <c r="F767" s="62"/>
      <c r="G767" s="61"/>
      <c r="H767" s="68"/>
      <c r="I767" s="49"/>
      <c r="J767" s="49"/>
      <c r="K767" s="49"/>
      <c r="L767" s="49"/>
      <c r="M767" s="49"/>
      <c r="N767" s="49"/>
      <c r="O767" s="49"/>
    </row>
    <row r="768" spans="3:15" ht="19.5" customHeight="1">
      <c r="C768" s="66"/>
      <c r="D768" s="64"/>
      <c r="E768" s="61"/>
      <c r="F768" s="62"/>
      <c r="G768" s="61"/>
      <c r="H768" s="68"/>
      <c r="I768" s="49"/>
      <c r="J768" s="49"/>
      <c r="K768" s="49"/>
      <c r="L768" s="49"/>
      <c r="M768" s="49"/>
      <c r="N768" s="49"/>
      <c r="O768" s="49"/>
    </row>
    <row r="769" spans="3:15" ht="19.5" customHeight="1">
      <c r="C769" s="66"/>
      <c r="D769" s="64"/>
      <c r="E769" s="61"/>
      <c r="F769" s="62"/>
      <c r="G769" s="61"/>
      <c r="H769" s="68"/>
      <c r="I769" s="49"/>
      <c r="J769" s="49"/>
      <c r="K769" s="49"/>
      <c r="L769" s="49"/>
      <c r="M769" s="49"/>
      <c r="N769" s="49"/>
      <c r="O769" s="49"/>
    </row>
    <row r="770" spans="3:15" ht="19.5" customHeight="1">
      <c r="C770" s="66"/>
      <c r="D770" s="64"/>
      <c r="E770" s="61"/>
      <c r="F770" s="62"/>
      <c r="G770" s="61"/>
      <c r="H770" s="68"/>
      <c r="I770" s="49"/>
      <c r="J770" s="49"/>
      <c r="K770" s="49"/>
      <c r="L770" s="49"/>
      <c r="M770" s="49"/>
      <c r="N770" s="49"/>
      <c r="O770" s="49"/>
    </row>
    <row r="771" spans="3:15" ht="19.5" customHeight="1">
      <c r="C771" s="66"/>
      <c r="D771" s="64"/>
      <c r="E771" s="61"/>
      <c r="F771" s="62"/>
      <c r="G771" s="61"/>
      <c r="H771" s="68"/>
      <c r="I771" s="49"/>
      <c r="J771" s="49"/>
      <c r="K771" s="49"/>
      <c r="L771" s="49"/>
      <c r="M771" s="49"/>
      <c r="N771" s="49"/>
      <c r="O771" s="49"/>
    </row>
    <row r="772" spans="3:15" ht="19.5" customHeight="1">
      <c r="C772" s="66"/>
      <c r="D772" s="64"/>
      <c r="E772" s="61"/>
      <c r="F772" s="62"/>
      <c r="G772" s="61"/>
      <c r="H772" s="68"/>
      <c r="I772" s="49"/>
      <c r="J772" s="49"/>
      <c r="K772" s="49"/>
      <c r="L772" s="49"/>
      <c r="M772" s="49"/>
      <c r="N772" s="49"/>
      <c r="O772" s="49"/>
    </row>
    <row r="773" spans="3:15" ht="19.5" customHeight="1">
      <c r="C773" s="66"/>
      <c r="D773" s="64"/>
      <c r="E773" s="61"/>
      <c r="F773" s="62"/>
      <c r="G773" s="61"/>
      <c r="H773" s="68"/>
      <c r="I773" s="49"/>
      <c r="J773" s="49"/>
      <c r="K773" s="49"/>
      <c r="L773" s="49"/>
      <c r="M773" s="49"/>
      <c r="N773" s="49"/>
      <c r="O773" s="49"/>
    </row>
    <row r="774" spans="3:15" ht="19.5" customHeight="1">
      <c r="C774" s="66"/>
      <c r="D774" s="64"/>
      <c r="E774" s="61"/>
      <c r="F774" s="62"/>
      <c r="G774" s="61"/>
      <c r="H774" s="68"/>
      <c r="I774" s="49"/>
      <c r="J774" s="49"/>
      <c r="K774" s="49"/>
      <c r="L774" s="49"/>
      <c r="M774" s="49"/>
      <c r="N774" s="49"/>
      <c r="O774" s="49"/>
    </row>
    <row r="775" spans="3:15" ht="19.5" customHeight="1">
      <c r="C775" s="66"/>
      <c r="D775" s="64"/>
      <c r="E775" s="61"/>
      <c r="F775" s="62"/>
      <c r="G775" s="61"/>
      <c r="H775" s="68"/>
      <c r="I775" s="49"/>
      <c r="J775" s="49"/>
      <c r="K775" s="49"/>
      <c r="L775" s="49"/>
      <c r="M775" s="49"/>
      <c r="N775" s="49"/>
      <c r="O775" s="49"/>
    </row>
    <row r="776" spans="3:15" ht="19.5" customHeight="1">
      <c r="C776" s="66"/>
      <c r="D776" s="64"/>
      <c r="E776" s="61"/>
      <c r="F776" s="62"/>
      <c r="G776" s="61"/>
      <c r="H776" s="68"/>
      <c r="I776" s="49"/>
      <c r="J776" s="49"/>
      <c r="K776" s="49"/>
      <c r="L776" s="49"/>
      <c r="M776" s="49"/>
      <c r="N776" s="49"/>
      <c r="O776" s="49"/>
    </row>
    <row r="777" spans="3:15" ht="19.5" customHeight="1">
      <c r="C777" s="66"/>
      <c r="D777" s="64"/>
      <c r="E777" s="61"/>
      <c r="F777" s="62"/>
      <c r="G777" s="61"/>
      <c r="H777" s="68"/>
      <c r="I777" s="49"/>
      <c r="J777" s="49"/>
      <c r="K777" s="49"/>
      <c r="L777" s="49"/>
      <c r="M777" s="49"/>
      <c r="N777" s="49"/>
      <c r="O777" s="49"/>
    </row>
    <row r="778" spans="3:15" ht="19.5" customHeight="1">
      <c r="C778" s="66"/>
      <c r="D778" s="64"/>
      <c r="E778" s="61"/>
      <c r="F778" s="62"/>
      <c r="G778" s="61"/>
      <c r="H778" s="68"/>
      <c r="I778" s="49"/>
      <c r="J778" s="49"/>
      <c r="K778" s="49"/>
      <c r="L778" s="49"/>
      <c r="M778" s="49"/>
      <c r="N778" s="49"/>
      <c r="O778" s="49"/>
    </row>
    <row r="779" spans="3:15" ht="19.5" customHeight="1">
      <c r="C779" s="66"/>
      <c r="D779" s="64"/>
      <c r="E779" s="61"/>
      <c r="F779" s="62"/>
      <c r="G779" s="61"/>
      <c r="H779" s="68"/>
      <c r="I779" s="49"/>
      <c r="J779" s="49"/>
      <c r="K779" s="49"/>
      <c r="L779" s="49"/>
      <c r="M779" s="49"/>
      <c r="N779" s="49"/>
      <c r="O779" s="49"/>
    </row>
    <row r="780" spans="3:15" ht="19.5" customHeight="1">
      <c r="C780" s="66"/>
      <c r="D780" s="64"/>
      <c r="E780" s="61"/>
      <c r="F780" s="62"/>
      <c r="G780" s="61"/>
      <c r="H780" s="68"/>
      <c r="I780" s="49"/>
      <c r="J780" s="49"/>
      <c r="K780" s="49"/>
      <c r="L780" s="49"/>
      <c r="M780" s="49"/>
      <c r="N780" s="49"/>
      <c r="O780" s="49"/>
    </row>
    <row r="781" spans="3:15" ht="19.5" customHeight="1">
      <c r="C781" s="66"/>
      <c r="D781" s="64"/>
      <c r="E781" s="61"/>
      <c r="F781" s="62"/>
      <c r="G781" s="61"/>
      <c r="H781" s="68"/>
      <c r="I781" s="49"/>
      <c r="J781" s="49"/>
      <c r="K781" s="49"/>
      <c r="L781" s="49"/>
      <c r="M781" s="49"/>
      <c r="N781" s="49"/>
      <c r="O781" s="49"/>
    </row>
    <row r="782" spans="3:15" ht="19.5" customHeight="1">
      <c r="C782" s="66"/>
      <c r="D782" s="64"/>
      <c r="E782" s="61"/>
      <c r="F782" s="62"/>
      <c r="G782" s="61"/>
      <c r="H782" s="68"/>
      <c r="I782" s="49"/>
      <c r="J782" s="49"/>
      <c r="K782" s="49"/>
      <c r="L782" s="49"/>
      <c r="M782" s="49"/>
      <c r="N782" s="49"/>
      <c r="O782" s="49"/>
    </row>
    <row r="783" spans="3:15" ht="19.5" customHeight="1">
      <c r="C783" s="66"/>
      <c r="D783" s="64"/>
      <c r="E783" s="61"/>
      <c r="F783" s="62"/>
      <c r="G783" s="61"/>
      <c r="H783" s="68"/>
      <c r="I783" s="49"/>
      <c r="J783" s="49"/>
      <c r="K783" s="49"/>
      <c r="L783" s="49"/>
      <c r="M783" s="49"/>
      <c r="N783" s="49"/>
      <c r="O783" s="49"/>
    </row>
    <row r="784" spans="3:15" ht="19.5" customHeight="1">
      <c r="C784" s="66"/>
      <c r="D784" s="64"/>
      <c r="E784" s="61"/>
      <c r="F784" s="62"/>
      <c r="G784" s="61"/>
      <c r="H784" s="68"/>
      <c r="I784" s="49"/>
      <c r="J784" s="49"/>
      <c r="K784" s="49"/>
      <c r="L784" s="49"/>
      <c r="M784" s="49"/>
      <c r="N784" s="49"/>
      <c r="O784" s="49"/>
    </row>
    <row r="785" spans="3:15" ht="19.5" customHeight="1">
      <c r="C785" s="66"/>
      <c r="D785" s="64"/>
      <c r="E785" s="61"/>
      <c r="F785" s="62"/>
      <c r="G785" s="61"/>
      <c r="H785" s="68"/>
      <c r="I785" s="49"/>
      <c r="J785" s="49"/>
      <c r="K785" s="49"/>
      <c r="L785" s="49"/>
      <c r="M785" s="49"/>
      <c r="N785" s="49"/>
      <c r="O785" s="49"/>
    </row>
    <row r="786" spans="3:15" ht="19.5" customHeight="1">
      <c r="C786" s="66"/>
      <c r="D786" s="64"/>
      <c r="E786" s="61"/>
      <c r="F786" s="62"/>
      <c r="G786" s="61"/>
      <c r="H786" s="68"/>
      <c r="I786" s="49"/>
      <c r="J786" s="49"/>
      <c r="K786" s="49"/>
      <c r="L786" s="49"/>
      <c r="M786" s="49"/>
      <c r="N786" s="49"/>
      <c r="O786" s="49"/>
    </row>
    <row r="787" spans="3:15" ht="19.5" customHeight="1">
      <c r="C787" s="66"/>
      <c r="D787" s="64"/>
      <c r="E787" s="61"/>
      <c r="F787" s="62"/>
      <c r="G787" s="61"/>
      <c r="H787" s="68"/>
      <c r="I787" s="49"/>
      <c r="J787" s="49"/>
      <c r="K787" s="49"/>
      <c r="L787" s="49"/>
      <c r="M787" s="49"/>
      <c r="N787" s="49"/>
      <c r="O787" s="49"/>
    </row>
    <row r="788" spans="3:15" ht="19.5" customHeight="1">
      <c r="C788" s="66"/>
      <c r="D788" s="64"/>
      <c r="E788" s="61"/>
      <c r="F788" s="62"/>
      <c r="G788" s="61"/>
      <c r="H788" s="68"/>
      <c r="I788" s="49"/>
      <c r="J788" s="49"/>
      <c r="K788" s="49"/>
      <c r="L788" s="49"/>
      <c r="M788" s="49"/>
      <c r="N788" s="49"/>
      <c r="O788" s="49"/>
    </row>
    <row r="789" spans="3:15" ht="19.5" customHeight="1">
      <c r="C789" s="66"/>
      <c r="D789" s="64"/>
      <c r="E789" s="61"/>
      <c r="F789" s="62"/>
      <c r="G789" s="61"/>
      <c r="H789" s="68"/>
      <c r="I789" s="49"/>
      <c r="J789" s="49"/>
      <c r="K789" s="49"/>
      <c r="L789" s="49"/>
      <c r="M789" s="49"/>
      <c r="N789" s="49"/>
      <c r="O789" s="49"/>
    </row>
    <row r="790" spans="3:15" ht="19.5" customHeight="1">
      <c r="C790" s="66"/>
      <c r="D790" s="64"/>
      <c r="E790" s="61"/>
      <c r="F790" s="62"/>
      <c r="G790" s="61"/>
      <c r="H790" s="68"/>
      <c r="I790" s="49"/>
      <c r="J790" s="49"/>
      <c r="K790" s="49"/>
      <c r="L790" s="49"/>
      <c r="M790" s="49"/>
      <c r="N790" s="49"/>
      <c r="O790" s="49"/>
    </row>
    <row r="791" spans="3:15" ht="19.5" customHeight="1">
      <c r="C791" s="66"/>
      <c r="D791" s="64"/>
      <c r="E791" s="61"/>
      <c r="F791" s="62"/>
      <c r="G791" s="61"/>
      <c r="H791" s="68"/>
      <c r="I791" s="49"/>
      <c r="J791" s="49"/>
      <c r="K791" s="49"/>
      <c r="L791" s="49"/>
      <c r="M791" s="49"/>
      <c r="N791" s="49"/>
      <c r="O791" s="49"/>
    </row>
    <row r="792" spans="3:15" ht="19.5" customHeight="1">
      <c r="C792" s="66"/>
      <c r="D792" s="64"/>
      <c r="E792" s="61"/>
      <c r="F792" s="62"/>
      <c r="G792" s="61"/>
      <c r="H792" s="68"/>
      <c r="I792" s="49"/>
      <c r="J792" s="49"/>
      <c r="K792" s="49"/>
      <c r="L792" s="49"/>
      <c r="M792" s="49"/>
      <c r="N792" s="49"/>
      <c r="O792" s="49"/>
    </row>
    <row r="793" spans="3:15" ht="19.5" customHeight="1">
      <c r="C793" s="66"/>
      <c r="D793" s="64"/>
      <c r="E793" s="61"/>
      <c r="F793" s="62"/>
      <c r="G793" s="61"/>
      <c r="H793" s="68"/>
      <c r="I793" s="49"/>
      <c r="J793" s="49"/>
      <c r="K793" s="49"/>
      <c r="L793" s="49"/>
      <c r="M793" s="49"/>
      <c r="N793" s="49"/>
      <c r="O793" s="49"/>
    </row>
    <row r="794" spans="3:15" ht="19.5" customHeight="1">
      <c r="C794" s="66"/>
      <c r="D794" s="64"/>
      <c r="E794" s="61"/>
      <c r="F794" s="62"/>
      <c r="G794" s="61"/>
      <c r="H794" s="68"/>
      <c r="I794" s="49"/>
      <c r="J794" s="49"/>
      <c r="K794" s="49"/>
      <c r="L794" s="49"/>
      <c r="M794" s="49"/>
      <c r="N794" s="49"/>
      <c r="O794" s="49"/>
    </row>
    <row r="795" spans="3:15" ht="19.5" customHeight="1">
      <c r="C795" s="66"/>
      <c r="D795" s="64"/>
      <c r="E795" s="61"/>
      <c r="F795" s="62"/>
      <c r="G795" s="61"/>
      <c r="H795" s="68"/>
      <c r="I795" s="49"/>
      <c r="J795" s="49"/>
      <c r="K795" s="49"/>
      <c r="L795" s="49"/>
      <c r="M795" s="49"/>
      <c r="N795" s="49"/>
      <c r="O795" s="49"/>
    </row>
    <row r="796" spans="3:15" ht="19.5" customHeight="1">
      <c r="C796" s="66"/>
      <c r="D796" s="64"/>
      <c r="E796" s="61"/>
      <c r="F796" s="62"/>
      <c r="G796" s="61"/>
      <c r="H796" s="68"/>
      <c r="I796" s="49"/>
      <c r="J796" s="49"/>
      <c r="K796" s="49"/>
      <c r="L796" s="49"/>
      <c r="M796" s="49"/>
      <c r="N796" s="49"/>
      <c r="O796" s="49"/>
    </row>
    <row r="797" spans="3:15" ht="19.5" customHeight="1">
      <c r="C797" s="66"/>
      <c r="D797" s="64"/>
      <c r="E797" s="61"/>
      <c r="F797" s="62"/>
      <c r="G797" s="61"/>
      <c r="H797" s="68"/>
      <c r="I797" s="49"/>
      <c r="J797" s="49"/>
      <c r="K797" s="49"/>
      <c r="L797" s="49"/>
      <c r="M797" s="49"/>
      <c r="N797" s="49"/>
      <c r="O797" s="49"/>
    </row>
    <row r="798" spans="3:15" ht="19.5" customHeight="1">
      <c r="C798" s="66"/>
      <c r="D798" s="64"/>
      <c r="E798" s="61"/>
      <c r="F798" s="62"/>
      <c r="G798" s="61"/>
      <c r="H798" s="68"/>
      <c r="I798" s="49"/>
      <c r="J798" s="49"/>
      <c r="K798" s="49"/>
      <c r="L798" s="49"/>
      <c r="M798" s="49"/>
      <c r="N798" s="49"/>
      <c r="O798" s="49"/>
    </row>
    <row r="799" spans="3:15" ht="19.5" customHeight="1">
      <c r="C799" s="66"/>
      <c r="D799" s="64"/>
      <c r="E799" s="61"/>
      <c r="F799" s="62"/>
      <c r="G799" s="61"/>
      <c r="H799" s="68"/>
      <c r="I799" s="49"/>
      <c r="J799" s="49"/>
      <c r="K799" s="49"/>
      <c r="L799" s="49"/>
      <c r="M799" s="49"/>
      <c r="N799" s="49"/>
      <c r="O799" s="49"/>
    </row>
    <row r="800" spans="3:15" ht="19.5" customHeight="1">
      <c r="C800" s="66"/>
      <c r="D800" s="64"/>
      <c r="E800" s="61"/>
      <c r="F800" s="62"/>
      <c r="G800" s="61"/>
      <c r="H800" s="68"/>
      <c r="I800" s="49"/>
      <c r="J800" s="49"/>
      <c r="K800" s="49"/>
      <c r="L800" s="49"/>
      <c r="M800" s="49"/>
      <c r="N800" s="49"/>
      <c r="O800" s="49"/>
    </row>
    <row r="801" spans="3:15" ht="19.5" customHeight="1">
      <c r="C801" s="66"/>
      <c r="D801" s="64"/>
      <c r="E801" s="61"/>
      <c r="F801" s="62"/>
      <c r="G801" s="61"/>
      <c r="H801" s="68"/>
      <c r="I801" s="49"/>
      <c r="J801" s="49"/>
      <c r="K801" s="49"/>
      <c r="L801" s="49"/>
      <c r="M801" s="49"/>
      <c r="N801" s="49"/>
      <c r="O801" s="49"/>
    </row>
    <row r="802" spans="3:15" ht="19.5" customHeight="1">
      <c r="C802" s="66"/>
      <c r="D802" s="64"/>
      <c r="E802" s="61"/>
      <c r="F802" s="62"/>
      <c r="G802" s="61"/>
      <c r="H802" s="68"/>
      <c r="I802" s="49"/>
      <c r="J802" s="49"/>
      <c r="K802" s="49"/>
      <c r="L802" s="49"/>
      <c r="M802" s="49"/>
      <c r="N802" s="49"/>
      <c r="O802" s="49"/>
    </row>
    <row r="803" spans="3:15" ht="19.5" customHeight="1">
      <c r="C803" s="66"/>
      <c r="D803" s="64"/>
      <c r="E803" s="61"/>
      <c r="F803" s="62"/>
      <c r="G803" s="61"/>
      <c r="H803" s="68"/>
      <c r="I803" s="49"/>
      <c r="J803" s="49"/>
      <c r="K803" s="49"/>
      <c r="L803" s="49"/>
      <c r="M803" s="49"/>
      <c r="N803" s="49"/>
      <c r="O803" s="49"/>
    </row>
    <row r="804" spans="3:15" ht="19.5" customHeight="1">
      <c r="C804" s="66"/>
      <c r="D804" s="64"/>
      <c r="E804" s="61"/>
      <c r="F804" s="62"/>
      <c r="G804" s="61"/>
      <c r="H804" s="68"/>
      <c r="I804" s="49"/>
      <c r="J804" s="49"/>
      <c r="K804" s="49"/>
      <c r="L804" s="49"/>
      <c r="M804" s="49"/>
      <c r="N804" s="49"/>
      <c r="O804" s="49"/>
    </row>
    <row r="805" spans="3:15" ht="19.5" customHeight="1">
      <c r="C805" s="66"/>
      <c r="D805" s="64"/>
      <c r="E805" s="61"/>
      <c r="F805" s="62"/>
      <c r="G805" s="61"/>
      <c r="H805" s="68"/>
      <c r="I805" s="49"/>
      <c r="J805" s="49"/>
      <c r="K805" s="49"/>
      <c r="L805" s="49"/>
      <c r="M805" s="49"/>
      <c r="N805" s="49"/>
      <c r="O805" s="49"/>
    </row>
    <row r="806" spans="3:15" ht="19.5" customHeight="1">
      <c r="C806" s="66"/>
      <c r="D806" s="64"/>
      <c r="E806" s="61"/>
      <c r="F806" s="62"/>
      <c r="G806" s="61"/>
      <c r="H806" s="68"/>
      <c r="I806" s="49"/>
      <c r="J806" s="49"/>
      <c r="K806" s="49"/>
      <c r="L806" s="49"/>
      <c r="M806" s="49"/>
      <c r="N806" s="49"/>
      <c r="O806" s="49"/>
    </row>
    <row r="807" spans="3:15" ht="19.5" customHeight="1">
      <c r="C807" s="66"/>
      <c r="D807" s="64"/>
      <c r="E807" s="61"/>
      <c r="F807" s="62"/>
      <c r="G807" s="61"/>
      <c r="H807" s="68"/>
      <c r="I807" s="49"/>
      <c r="J807" s="49"/>
      <c r="K807" s="49"/>
      <c r="L807" s="49"/>
      <c r="M807" s="49"/>
      <c r="N807" s="49"/>
      <c r="O807" s="49"/>
    </row>
    <row r="808" spans="3:15" ht="19.5" customHeight="1">
      <c r="C808" s="66"/>
      <c r="D808" s="64"/>
      <c r="E808" s="61"/>
      <c r="F808" s="62"/>
      <c r="G808" s="61"/>
      <c r="H808" s="68"/>
      <c r="I808" s="49"/>
      <c r="J808" s="49"/>
      <c r="K808" s="49"/>
      <c r="L808" s="49"/>
      <c r="M808" s="49"/>
      <c r="N808" s="49"/>
      <c r="O808" s="49"/>
    </row>
    <row r="809" spans="3:15" ht="19.5" customHeight="1">
      <c r="C809" s="66"/>
      <c r="D809" s="64"/>
      <c r="E809" s="61"/>
      <c r="F809" s="62"/>
      <c r="G809" s="61"/>
      <c r="H809" s="68"/>
      <c r="I809" s="49"/>
      <c r="J809" s="49"/>
      <c r="K809" s="49"/>
      <c r="L809" s="49"/>
      <c r="M809" s="49"/>
      <c r="N809" s="49"/>
      <c r="O809" s="49"/>
    </row>
    <row r="810" spans="3:15" ht="19.5" customHeight="1">
      <c r="C810" s="66"/>
      <c r="D810" s="64"/>
      <c r="E810" s="61"/>
      <c r="F810" s="62"/>
      <c r="G810" s="61"/>
      <c r="H810" s="68"/>
      <c r="I810" s="49"/>
      <c r="J810" s="49"/>
      <c r="K810" s="49"/>
      <c r="L810" s="49"/>
      <c r="M810" s="49"/>
      <c r="N810" s="49"/>
      <c r="O810" s="49"/>
    </row>
    <row r="811" spans="3:15" ht="19.5" customHeight="1">
      <c r="C811" s="66"/>
      <c r="D811" s="64"/>
      <c r="E811" s="61"/>
      <c r="F811" s="62"/>
      <c r="G811" s="61"/>
      <c r="H811" s="68"/>
      <c r="I811" s="49"/>
      <c r="J811" s="49"/>
      <c r="K811" s="49"/>
      <c r="L811" s="49"/>
      <c r="M811" s="49"/>
      <c r="N811" s="49"/>
      <c r="O811" s="49"/>
    </row>
    <row r="812" spans="3:15" ht="19.5" customHeight="1">
      <c r="C812" s="66"/>
      <c r="D812" s="64"/>
      <c r="E812" s="61"/>
      <c r="F812" s="62"/>
      <c r="G812" s="61"/>
      <c r="H812" s="68"/>
      <c r="I812" s="49"/>
      <c r="J812" s="49"/>
      <c r="K812" s="49"/>
      <c r="L812" s="49"/>
      <c r="M812" s="49"/>
      <c r="N812" s="49"/>
      <c r="O812" s="49"/>
    </row>
    <row r="813" spans="3:15" ht="19.5" customHeight="1">
      <c r="C813" s="66"/>
      <c r="D813" s="64"/>
      <c r="E813" s="61"/>
      <c r="F813" s="62"/>
      <c r="G813" s="61"/>
      <c r="H813" s="68"/>
      <c r="I813" s="49"/>
      <c r="J813" s="49"/>
      <c r="K813" s="49"/>
      <c r="L813" s="49"/>
      <c r="M813" s="49"/>
      <c r="N813" s="49"/>
      <c r="O813" s="49"/>
    </row>
    <row r="814" spans="3:15" ht="19.5" customHeight="1">
      <c r="C814" s="66"/>
      <c r="D814" s="64"/>
      <c r="E814" s="61"/>
      <c r="F814" s="62"/>
      <c r="G814" s="61"/>
      <c r="H814" s="68"/>
      <c r="I814" s="49"/>
      <c r="J814" s="49"/>
      <c r="K814" s="49"/>
      <c r="L814" s="49"/>
      <c r="M814" s="49"/>
      <c r="N814" s="49"/>
      <c r="O814" s="49"/>
    </row>
    <row r="815" spans="3:15" ht="19.5" customHeight="1">
      <c r="C815" s="66"/>
      <c r="D815" s="64"/>
      <c r="E815" s="61"/>
      <c r="F815" s="62"/>
      <c r="G815" s="61"/>
      <c r="H815" s="68"/>
      <c r="I815" s="49"/>
      <c r="J815" s="49"/>
      <c r="K815" s="49"/>
      <c r="L815" s="49"/>
      <c r="M815" s="49"/>
      <c r="N815" s="49"/>
      <c r="O815" s="49"/>
    </row>
    <row r="816" spans="3:15" ht="19.5" customHeight="1">
      <c r="C816" s="66"/>
      <c r="D816" s="64"/>
      <c r="E816" s="61"/>
      <c r="F816" s="62"/>
      <c r="G816" s="61"/>
      <c r="H816" s="68"/>
      <c r="I816" s="49"/>
      <c r="J816" s="49"/>
      <c r="K816" s="49"/>
      <c r="L816" s="49"/>
      <c r="M816" s="49"/>
      <c r="N816" s="49"/>
      <c r="O816" s="49"/>
    </row>
    <row r="817" spans="3:15" ht="19.5" customHeight="1">
      <c r="C817" s="66"/>
      <c r="D817" s="64"/>
      <c r="E817" s="61"/>
      <c r="F817" s="62"/>
      <c r="G817" s="61"/>
      <c r="H817" s="68"/>
      <c r="I817" s="49"/>
      <c r="J817" s="49"/>
      <c r="K817" s="49"/>
      <c r="L817" s="49"/>
      <c r="M817" s="49"/>
      <c r="N817" s="49"/>
      <c r="O817" s="49"/>
    </row>
    <row r="818" spans="3:15" ht="19.5" customHeight="1">
      <c r="C818" s="66"/>
      <c r="D818" s="64"/>
      <c r="E818" s="61"/>
      <c r="F818" s="62"/>
      <c r="G818" s="61"/>
      <c r="H818" s="68"/>
      <c r="I818" s="49"/>
      <c r="J818" s="49"/>
      <c r="K818" s="49"/>
      <c r="L818" s="49"/>
      <c r="M818" s="49"/>
      <c r="N818" s="49"/>
      <c r="O818" s="49"/>
    </row>
    <row r="819" spans="3:15" ht="19.5" customHeight="1">
      <c r="C819" s="66"/>
      <c r="D819" s="64"/>
      <c r="E819" s="61"/>
      <c r="F819" s="62"/>
      <c r="G819" s="61"/>
      <c r="H819" s="68"/>
      <c r="I819" s="49"/>
      <c r="J819" s="49"/>
      <c r="K819" s="49"/>
      <c r="L819" s="49"/>
      <c r="M819" s="49"/>
      <c r="N819" s="49"/>
      <c r="O819" s="49"/>
    </row>
    <row r="820" spans="3:15" ht="19.5" customHeight="1">
      <c r="C820" s="66"/>
      <c r="D820" s="64"/>
      <c r="E820" s="61"/>
      <c r="F820" s="62"/>
      <c r="G820" s="61"/>
      <c r="H820" s="68"/>
      <c r="I820" s="49"/>
      <c r="J820" s="49"/>
      <c r="K820" s="49"/>
      <c r="L820" s="49"/>
      <c r="M820" s="49"/>
      <c r="N820" s="49"/>
      <c r="O820" s="49"/>
    </row>
    <row r="821" spans="3:15" ht="19.5" customHeight="1">
      <c r="C821" s="66"/>
      <c r="D821" s="64"/>
      <c r="E821" s="61"/>
      <c r="F821" s="62"/>
      <c r="G821" s="61"/>
      <c r="H821" s="68"/>
      <c r="I821" s="49"/>
      <c r="J821" s="49"/>
      <c r="K821" s="49"/>
      <c r="L821" s="49"/>
      <c r="M821" s="49"/>
      <c r="N821" s="49"/>
      <c r="O821" s="49"/>
    </row>
    <row r="822" spans="3:15" ht="19.5" customHeight="1">
      <c r="C822" s="66"/>
      <c r="D822" s="64"/>
      <c r="E822" s="61"/>
      <c r="F822" s="62"/>
      <c r="G822" s="61"/>
      <c r="H822" s="68"/>
      <c r="I822" s="49"/>
      <c r="J822" s="49"/>
      <c r="K822" s="49"/>
      <c r="L822" s="49"/>
      <c r="M822" s="49"/>
      <c r="N822" s="49"/>
      <c r="O822" s="49"/>
    </row>
    <row r="823" spans="3:15" ht="19.5" customHeight="1">
      <c r="C823" s="66"/>
      <c r="D823" s="64"/>
      <c r="E823" s="61"/>
      <c r="F823" s="62"/>
      <c r="G823" s="61"/>
      <c r="H823" s="68"/>
      <c r="I823" s="49"/>
      <c r="J823" s="49"/>
      <c r="K823" s="49"/>
      <c r="L823" s="49"/>
      <c r="M823" s="49"/>
      <c r="N823" s="49"/>
      <c r="O823" s="49"/>
    </row>
    <row r="824" spans="3:15" ht="19.5" customHeight="1">
      <c r="C824" s="66"/>
      <c r="D824" s="64"/>
      <c r="E824" s="61"/>
      <c r="F824" s="62"/>
      <c r="G824" s="61"/>
      <c r="H824" s="68"/>
      <c r="I824" s="49"/>
      <c r="J824" s="49"/>
      <c r="K824" s="49"/>
      <c r="L824" s="49"/>
      <c r="M824" s="49"/>
      <c r="N824" s="49"/>
      <c r="O824" s="49"/>
    </row>
    <row r="825" spans="3:15" ht="19.5" customHeight="1">
      <c r="C825" s="66"/>
      <c r="D825" s="64"/>
      <c r="E825" s="61"/>
      <c r="F825" s="62"/>
      <c r="G825" s="61"/>
      <c r="H825" s="68"/>
      <c r="I825" s="49"/>
      <c r="J825" s="49"/>
      <c r="K825" s="49"/>
      <c r="L825" s="49"/>
      <c r="M825" s="49"/>
      <c r="N825" s="49"/>
      <c r="O825" s="49"/>
    </row>
    <row r="826" spans="3:15" ht="19.5" customHeight="1">
      <c r="C826" s="66"/>
      <c r="D826" s="64"/>
      <c r="E826" s="61"/>
      <c r="F826" s="62"/>
      <c r="G826" s="61"/>
      <c r="H826" s="68"/>
      <c r="I826" s="49"/>
      <c r="J826" s="49"/>
      <c r="K826" s="49"/>
      <c r="L826" s="49"/>
      <c r="M826" s="49"/>
      <c r="N826" s="49"/>
      <c r="O826" s="49"/>
    </row>
    <row r="827" spans="3:15" ht="19.5" customHeight="1">
      <c r="C827" s="66"/>
      <c r="D827" s="64"/>
      <c r="E827" s="61"/>
      <c r="F827" s="62"/>
      <c r="G827" s="61"/>
      <c r="H827" s="68"/>
      <c r="I827" s="49"/>
      <c r="J827" s="49"/>
      <c r="K827" s="49"/>
      <c r="L827" s="49"/>
      <c r="M827" s="49"/>
      <c r="N827" s="49"/>
      <c r="O827" s="49"/>
    </row>
    <row r="828" spans="3:15" ht="19.5" customHeight="1">
      <c r="C828" s="66"/>
      <c r="D828" s="64"/>
      <c r="E828" s="61"/>
      <c r="F828" s="62"/>
      <c r="G828" s="61"/>
      <c r="H828" s="68"/>
      <c r="I828" s="49"/>
      <c r="J828" s="49"/>
      <c r="K828" s="49"/>
      <c r="L828" s="49"/>
      <c r="M828" s="49"/>
      <c r="N828" s="49"/>
      <c r="O828" s="49"/>
    </row>
    <row r="829" spans="3:15" ht="19.5" customHeight="1">
      <c r="C829" s="66"/>
      <c r="D829" s="64"/>
      <c r="E829" s="61"/>
      <c r="F829" s="62"/>
      <c r="G829" s="61"/>
      <c r="H829" s="68"/>
      <c r="I829" s="49"/>
      <c r="J829" s="49"/>
      <c r="K829" s="49"/>
      <c r="L829" s="49"/>
      <c r="M829" s="49"/>
      <c r="N829" s="49"/>
      <c r="O829" s="49"/>
    </row>
    <row r="830" spans="3:15" ht="19.5" customHeight="1">
      <c r="C830" s="66"/>
      <c r="D830" s="64"/>
      <c r="E830" s="61"/>
      <c r="F830" s="62"/>
      <c r="G830" s="61"/>
      <c r="H830" s="68"/>
      <c r="I830" s="49"/>
      <c r="J830" s="49"/>
      <c r="K830" s="49"/>
      <c r="L830" s="49"/>
      <c r="M830" s="49"/>
      <c r="N830" s="49"/>
      <c r="O830" s="49"/>
    </row>
    <row r="831" spans="3:15" ht="19.5" customHeight="1">
      <c r="C831" s="66"/>
      <c r="D831" s="64"/>
      <c r="E831" s="61"/>
      <c r="F831" s="62"/>
      <c r="G831" s="61"/>
      <c r="H831" s="68"/>
      <c r="I831" s="49"/>
      <c r="J831" s="49"/>
      <c r="K831" s="49"/>
      <c r="L831" s="49"/>
      <c r="M831" s="49"/>
      <c r="N831" s="49"/>
      <c r="O831" s="49"/>
    </row>
    <row r="832" spans="3:15" ht="19.5" customHeight="1">
      <c r="C832" s="66"/>
      <c r="D832" s="64"/>
      <c r="E832" s="61"/>
      <c r="F832" s="62"/>
      <c r="G832" s="61"/>
      <c r="H832" s="68"/>
      <c r="I832" s="49"/>
      <c r="J832" s="49"/>
      <c r="K832" s="49"/>
      <c r="L832" s="49"/>
      <c r="M832" s="49"/>
      <c r="N832" s="49"/>
      <c r="O832" s="49"/>
    </row>
    <row r="833" spans="3:15" ht="19.5" customHeight="1">
      <c r="C833" s="66"/>
      <c r="D833" s="64"/>
      <c r="E833" s="61"/>
      <c r="F833" s="62"/>
      <c r="G833" s="61"/>
      <c r="H833" s="68"/>
      <c r="I833" s="49"/>
      <c r="J833" s="49"/>
      <c r="K833" s="49"/>
      <c r="L833" s="49"/>
      <c r="M833" s="49"/>
      <c r="N833" s="49"/>
      <c r="O833" s="49"/>
    </row>
    <row r="834" spans="3:15" ht="19.5" customHeight="1">
      <c r="C834" s="66"/>
      <c r="D834" s="64"/>
      <c r="E834" s="61"/>
      <c r="F834" s="62"/>
      <c r="G834" s="61"/>
      <c r="H834" s="68"/>
      <c r="I834" s="49"/>
      <c r="J834" s="49"/>
      <c r="K834" s="49"/>
      <c r="L834" s="49"/>
      <c r="M834" s="49"/>
      <c r="N834" s="49"/>
      <c r="O834" s="49"/>
    </row>
    <row r="835" spans="3:15" ht="19.5" customHeight="1">
      <c r="C835" s="66"/>
      <c r="D835" s="64"/>
      <c r="E835" s="61"/>
      <c r="F835" s="62"/>
      <c r="G835" s="61"/>
      <c r="H835" s="68"/>
      <c r="I835" s="49"/>
      <c r="J835" s="49"/>
      <c r="K835" s="49"/>
      <c r="L835" s="49"/>
      <c r="M835" s="49"/>
      <c r="N835" s="49"/>
      <c r="O835" s="49"/>
    </row>
    <row r="836" spans="3:15" ht="19.5" customHeight="1">
      <c r="C836" s="66"/>
      <c r="D836" s="64"/>
      <c r="E836" s="61"/>
      <c r="F836" s="62"/>
      <c r="G836" s="61"/>
      <c r="H836" s="68"/>
      <c r="I836" s="49"/>
      <c r="J836" s="49"/>
      <c r="K836" s="49"/>
      <c r="L836" s="49"/>
      <c r="M836" s="49"/>
      <c r="N836" s="49"/>
      <c r="O836" s="49"/>
    </row>
    <row r="837" spans="3:15" ht="19.5" customHeight="1">
      <c r="C837" s="66"/>
      <c r="D837" s="64"/>
      <c r="E837" s="61"/>
      <c r="F837" s="62"/>
      <c r="G837" s="61"/>
      <c r="H837" s="68"/>
      <c r="I837" s="49"/>
      <c r="J837" s="49"/>
      <c r="K837" s="49"/>
      <c r="L837" s="49"/>
      <c r="M837" s="49"/>
      <c r="N837" s="49"/>
      <c r="O837" s="49"/>
    </row>
    <row r="838" spans="3:15" ht="19.5" customHeight="1">
      <c r="C838" s="66"/>
      <c r="D838" s="64"/>
      <c r="E838" s="61"/>
      <c r="F838" s="62"/>
      <c r="G838" s="61"/>
      <c r="H838" s="68"/>
      <c r="I838" s="49"/>
      <c r="J838" s="49"/>
      <c r="K838" s="49"/>
      <c r="L838" s="49"/>
      <c r="M838" s="49"/>
      <c r="N838" s="49"/>
      <c r="O838" s="49"/>
    </row>
    <row r="839" spans="3:15" ht="19.5" customHeight="1">
      <c r="C839" s="66"/>
      <c r="D839" s="64"/>
      <c r="E839" s="61"/>
      <c r="F839" s="62"/>
      <c r="G839" s="61"/>
      <c r="H839" s="68"/>
      <c r="I839" s="49"/>
      <c r="J839" s="49"/>
      <c r="K839" s="49"/>
      <c r="L839" s="49"/>
      <c r="M839" s="49"/>
      <c r="N839" s="49"/>
      <c r="O839" s="49"/>
    </row>
    <row r="840" spans="3:15" ht="19.5" customHeight="1">
      <c r="C840" s="66"/>
      <c r="D840" s="64"/>
      <c r="E840" s="61"/>
      <c r="F840" s="62"/>
      <c r="G840" s="61"/>
      <c r="H840" s="68"/>
      <c r="I840" s="49"/>
      <c r="J840" s="49"/>
      <c r="K840" s="49"/>
      <c r="L840" s="49"/>
      <c r="M840" s="49"/>
      <c r="N840" s="49"/>
      <c r="O840" s="49"/>
    </row>
    <row r="841" spans="3:15" ht="19.5" customHeight="1">
      <c r="C841" s="66"/>
      <c r="D841" s="64"/>
      <c r="E841" s="61"/>
      <c r="F841" s="62"/>
      <c r="G841" s="61"/>
      <c r="H841" s="68"/>
      <c r="I841" s="49"/>
      <c r="J841" s="49"/>
      <c r="K841" s="49"/>
      <c r="L841" s="49"/>
      <c r="M841" s="49"/>
      <c r="N841" s="49"/>
      <c r="O841" s="49"/>
    </row>
    <row r="842" spans="3:15" ht="19.5" customHeight="1">
      <c r="C842" s="66"/>
      <c r="D842" s="64"/>
      <c r="E842" s="61"/>
      <c r="F842" s="62"/>
      <c r="G842" s="61"/>
      <c r="H842" s="68"/>
      <c r="I842" s="49"/>
      <c r="J842" s="49"/>
      <c r="K842" s="49"/>
      <c r="L842" s="49"/>
      <c r="M842" s="49"/>
      <c r="N842" s="49"/>
      <c r="O842" s="49"/>
    </row>
    <row r="843" spans="3:15" ht="19.5" customHeight="1">
      <c r="C843" s="66"/>
      <c r="D843" s="64"/>
      <c r="E843" s="61"/>
      <c r="F843" s="62"/>
      <c r="G843" s="61"/>
      <c r="H843" s="68"/>
      <c r="I843" s="49"/>
      <c r="J843" s="49"/>
      <c r="K843" s="49"/>
      <c r="L843" s="49"/>
      <c r="M843" s="49"/>
      <c r="N843" s="49"/>
      <c r="O843" s="49"/>
    </row>
    <row r="844" spans="3:15" ht="19.5" customHeight="1">
      <c r="C844" s="66"/>
      <c r="D844" s="64"/>
      <c r="E844" s="61"/>
      <c r="F844" s="62"/>
      <c r="G844" s="61"/>
      <c r="H844" s="68"/>
      <c r="I844" s="49"/>
      <c r="J844" s="49"/>
      <c r="K844" s="49"/>
      <c r="L844" s="49"/>
      <c r="M844" s="49"/>
      <c r="N844" s="49"/>
      <c r="O844" s="49"/>
    </row>
    <row r="845" spans="3:15" ht="19.5" customHeight="1">
      <c r="C845" s="66"/>
      <c r="D845" s="64"/>
      <c r="E845" s="61"/>
      <c r="F845" s="62"/>
      <c r="G845" s="61"/>
      <c r="H845" s="68"/>
      <c r="I845" s="49"/>
      <c r="J845" s="49"/>
      <c r="K845" s="49"/>
      <c r="L845" s="49"/>
      <c r="M845" s="49"/>
      <c r="N845" s="49"/>
      <c r="O845" s="49"/>
    </row>
    <row r="846" spans="3:15" ht="19.5" customHeight="1">
      <c r="C846" s="66"/>
      <c r="D846" s="64"/>
      <c r="E846" s="61"/>
      <c r="F846" s="62"/>
      <c r="G846" s="61"/>
      <c r="H846" s="68"/>
      <c r="I846" s="49"/>
      <c r="J846" s="49"/>
      <c r="K846" s="49"/>
      <c r="L846" s="49"/>
      <c r="M846" s="49"/>
      <c r="N846" s="49"/>
      <c r="O846" s="49"/>
    </row>
    <row r="847" spans="3:15" ht="19.5" customHeight="1">
      <c r="C847" s="66"/>
      <c r="D847" s="64"/>
      <c r="E847" s="61"/>
      <c r="F847" s="62"/>
      <c r="G847" s="61"/>
      <c r="H847" s="68"/>
      <c r="I847" s="49"/>
      <c r="J847" s="49"/>
      <c r="K847" s="49"/>
      <c r="L847" s="49"/>
      <c r="M847" s="49"/>
      <c r="N847" s="49"/>
      <c r="O847" s="49"/>
    </row>
    <row r="848" spans="3:15" ht="19.5" customHeight="1">
      <c r="C848" s="66"/>
      <c r="D848" s="64"/>
      <c r="E848" s="61"/>
      <c r="F848" s="62"/>
      <c r="G848" s="61"/>
      <c r="H848" s="68"/>
      <c r="I848" s="49"/>
      <c r="J848" s="49"/>
      <c r="K848" s="49"/>
      <c r="L848" s="49"/>
      <c r="M848" s="49"/>
      <c r="N848" s="49"/>
      <c r="O848" s="49"/>
    </row>
    <row r="849" spans="3:15" ht="19.5" customHeight="1">
      <c r="C849" s="66"/>
      <c r="D849" s="64"/>
      <c r="E849" s="61"/>
      <c r="F849" s="62"/>
      <c r="G849" s="61"/>
      <c r="H849" s="68"/>
      <c r="I849" s="49"/>
      <c r="J849" s="49"/>
      <c r="K849" s="49"/>
      <c r="L849" s="49"/>
      <c r="M849" s="49"/>
      <c r="N849" s="49"/>
      <c r="O849" s="49"/>
    </row>
    <row r="850" spans="3:15" ht="19.5" customHeight="1">
      <c r="C850" s="66"/>
      <c r="D850" s="64"/>
      <c r="E850" s="61"/>
      <c r="F850" s="62"/>
      <c r="G850" s="61"/>
      <c r="H850" s="68"/>
      <c r="I850" s="49"/>
      <c r="J850" s="49"/>
      <c r="K850" s="49"/>
      <c r="L850" s="49"/>
      <c r="M850" s="49"/>
      <c r="N850" s="49"/>
      <c r="O850" s="49"/>
    </row>
    <row r="851" spans="3:15" ht="19.5" customHeight="1">
      <c r="C851" s="66"/>
      <c r="D851" s="64"/>
      <c r="E851" s="61"/>
      <c r="F851" s="62"/>
      <c r="G851" s="61"/>
      <c r="H851" s="68"/>
      <c r="I851" s="49"/>
      <c r="J851" s="49"/>
      <c r="K851" s="49"/>
      <c r="L851" s="49"/>
      <c r="M851" s="49"/>
      <c r="N851" s="49"/>
      <c r="O851" s="49"/>
    </row>
    <row r="852" spans="3:15" ht="19.5" customHeight="1">
      <c r="C852" s="66"/>
      <c r="D852" s="64"/>
      <c r="E852" s="61"/>
      <c r="F852" s="62"/>
      <c r="G852" s="61"/>
      <c r="H852" s="68"/>
      <c r="I852" s="49"/>
      <c r="J852" s="49"/>
      <c r="K852" s="49"/>
      <c r="L852" s="49"/>
      <c r="M852" s="49"/>
      <c r="N852" s="49"/>
      <c r="O852" s="49"/>
    </row>
    <row r="853" spans="3:15" ht="19.5" customHeight="1">
      <c r="C853" s="66"/>
      <c r="D853" s="64"/>
      <c r="E853" s="61"/>
      <c r="F853" s="62"/>
      <c r="G853" s="61"/>
      <c r="H853" s="68"/>
      <c r="I853" s="49"/>
      <c r="J853" s="49"/>
      <c r="K853" s="49"/>
      <c r="L853" s="49"/>
      <c r="M853" s="49"/>
      <c r="N853" s="49"/>
      <c r="O853" s="49"/>
    </row>
    <row r="854" spans="3:15" ht="19.5" customHeight="1">
      <c r="C854" s="66"/>
      <c r="D854" s="64"/>
      <c r="E854" s="61"/>
      <c r="F854" s="62"/>
      <c r="G854" s="61"/>
      <c r="H854" s="68"/>
      <c r="I854" s="49"/>
      <c r="J854" s="49"/>
      <c r="K854" s="49"/>
      <c r="L854" s="49"/>
      <c r="M854" s="49"/>
      <c r="N854" s="49"/>
      <c r="O854" s="49"/>
    </row>
    <row r="855" spans="3:15" ht="19.5" customHeight="1">
      <c r="C855" s="66"/>
      <c r="D855" s="64"/>
      <c r="E855" s="61"/>
      <c r="F855" s="62"/>
      <c r="G855" s="61"/>
      <c r="H855" s="68"/>
      <c r="I855" s="49"/>
      <c r="J855" s="49"/>
      <c r="K855" s="49"/>
      <c r="L855" s="49"/>
      <c r="M855" s="49"/>
      <c r="N855" s="49"/>
      <c r="O855" s="49"/>
    </row>
    <row r="856" spans="3:15" ht="19.5" customHeight="1">
      <c r="C856" s="66"/>
      <c r="D856" s="64"/>
      <c r="E856" s="61"/>
      <c r="F856" s="62"/>
      <c r="G856" s="61"/>
      <c r="H856" s="68"/>
      <c r="I856" s="49"/>
      <c r="J856" s="49"/>
      <c r="K856" s="49"/>
      <c r="L856" s="49"/>
      <c r="M856" s="49"/>
      <c r="N856" s="49"/>
      <c r="O856" s="49"/>
    </row>
    <row r="857" spans="3:15" ht="19.5" customHeight="1">
      <c r="C857" s="66"/>
      <c r="D857" s="64"/>
      <c r="E857" s="61"/>
      <c r="F857" s="62"/>
      <c r="G857" s="61"/>
      <c r="H857" s="68"/>
      <c r="I857" s="49"/>
      <c r="J857" s="49"/>
      <c r="K857" s="49"/>
      <c r="L857" s="49"/>
      <c r="M857" s="49"/>
      <c r="N857" s="49"/>
      <c r="O857" s="49"/>
    </row>
    <row r="858" spans="3:15" ht="19.5" customHeight="1">
      <c r="C858" s="66"/>
      <c r="D858" s="64"/>
      <c r="E858" s="61"/>
      <c r="F858" s="62"/>
      <c r="G858" s="61"/>
      <c r="H858" s="68"/>
      <c r="I858" s="49"/>
      <c r="J858" s="49"/>
      <c r="K858" s="49"/>
      <c r="L858" s="49"/>
      <c r="M858" s="49"/>
      <c r="N858" s="49"/>
      <c r="O858" s="49"/>
    </row>
    <row r="859" spans="3:15" ht="19.5" customHeight="1">
      <c r="C859" s="66"/>
      <c r="D859" s="64"/>
      <c r="E859" s="61"/>
      <c r="F859" s="62"/>
      <c r="G859" s="61"/>
      <c r="H859" s="68"/>
      <c r="I859" s="49"/>
      <c r="J859" s="49"/>
      <c r="K859" s="49"/>
      <c r="L859" s="49"/>
      <c r="M859" s="49"/>
      <c r="N859" s="49"/>
      <c r="O859" s="49"/>
    </row>
    <row r="860" spans="3:15" ht="19.5" customHeight="1">
      <c r="C860" s="66"/>
      <c r="D860" s="64"/>
      <c r="E860" s="61"/>
      <c r="F860" s="62"/>
      <c r="G860" s="61"/>
      <c r="H860" s="68"/>
      <c r="I860" s="49"/>
      <c r="J860" s="49"/>
      <c r="K860" s="49"/>
      <c r="L860" s="49"/>
      <c r="M860" s="49"/>
      <c r="N860" s="49"/>
      <c r="O860" s="49"/>
    </row>
    <row r="861" spans="3:15" ht="19.5" customHeight="1">
      <c r="C861" s="66"/>
      <c r="D861" s="64"/>
      <c r="E861" s="61"/>
      <c r="F861" s="62"/>
      <c r="G861" s="61"/>
      <c r="H861" s="68"/>
      <c r="I861" s="49"/>
      <c r="J861" s="49"/>
      <c r="K861" s="49"/>
      <c r="L861" s="49"/>
      <c r="M861" s="49"/>
      <c r="N861" s="49"/>
      <c r="O861" s="49"/>
    </row>
    <row r="862" spans="3:15" ht="19.5" customHeight="1">
      <c r="C862" s="66"/>
      <c r="D862" s="64"/>
      <c r="E862" s="61"/>
      <c r="F862" s="62"/>
      <c r="G862" s="61"/>
      <c r="H862" s="68"/>
      <c r="I862" s="49"/>
      <c r="J862" s="49"/>
      <c r="K862" s="49"/>
      <c r="L862" s="49"/>
      <c r="M862" s="49"/>
      <c r="N862" s="49"/>
      <c r="O862" s="49"/>
    </row>
    <row r="863" spans="3:15" ht="19.5" customHeight="1">
      <c r="C863" s="66"/>
      <c r="D863" s="64"/>
      <c r="E863" s="61"/>
      <c r="F863" s="62"/>
      <c r="G863" s="61"/>
      <c r="H863" s="68"/>
      <c r="I863" s="49"/>
      <c r="J863" s="49"/>
      <c r="K863" s="49"/>
      <c r="L863" s="49"/>
      <c r="M863" s="49"/>
      <c r="N863" s="49"/>
      <c r="O863" s="49"/>
    </row>
    <row r="864" spans="3:15" ht="19.5" customHeight="1">
      <c r="C864" s="66"/>
      <c r="D864" s="64"/>
      <c r="E864" s="61"/>
      <c r="F864" s="62"/>
      <c r="G864" s="61"/>
      <c r="H864" s="68"/>
      <c r="I864" s="49"/>
      <c r="J864" s="49"/>
      <c r="K864" s="49"/>
      <c r="L864" s="49"/>
      <c r="M864" s="49"/>
      <c r="N864" s="49"/>
      <c r="O864" s="49"/>
    </row>
    <row r="865" spans="3:15" ht="19.5" customHeight="1">
      <c r="C865" s="66"/>
      <c r="D865" s="64"/>
      <c r="E865" s="61"/>
      <c r="F865" s="62"/>
      <c r="G865" s="61"/>
      <c r="H865" s="68"/>
      <c r="I865" s="49"/>
      <c r="J865" s="49"/>
      <c r="K865" s="49"/>
      <c r="L865" s="49"/>
      <c r="M865" s="49"/>
      <c r="N865" s="49"/>
      <c r="O865" s="49"/>
    </row>
    <row r="866" spans="3:15" ht="19.5" customHeight="1">
      <c r="C866" s="66"/>
      <c r="D866" s="64"/>
      <c r="E866" s="61"/>
      <c r="F866" s="62"/>
      <c r="G866" s="61"/>
      <c r="H866" s="68"/>
      <c r="I866" s="49"/>
      <c r="J866" s="49"/>
      <c r="K866" s="49"/>
      <c r="L866" s="49"/>
      <c r="M866" s="49"/>
      <c r="N866" s="49"/>
      <c r="O866" s="49"/>
    </row>
    <row r="867" spans="3:15" ht="19.5" customHeight="1">
      <c r="C867" s="66"/>
      <c r="D867" s="64"/>
      <c r="E867" s="61"/>
      <c r="F867" s="62"/>
      <c r="G867" s="61"/>
      <c r="H867" s="68"/>
      <c r="I867" s="49"/>
      <c r="J867" s="49"/>
      <c r="K867" s="49"/>
      <c r="L867" s="49"/>
      <c r="M867" s="49"/>
      <c r="N867" s="49"/>
      <c r="O867" s="49"/>
    </row>
    <row r="868" spans="3:15" ht="19.5" customHeight="1">
      <c r="C868" s="66"/>
      <c r="D868" s="64"/>
      <c r="E868" s="61"/>
      <c r="F868" s="62"/>
      <c r="G868" s="61"/>
      <c r="H868" s="68"/>
      <c r="I868" s="49"/>
      <c r="J868" s="49"/>
      <c r="K868" s="49"/>
      <c r="L868" s="49"/>
      <c r="M868" s="49"/>
      <c r="N868" s="49"/>
      <c r="O868" s="49"/>
    </row>
    <row r="869" spans="3:15" ht="19.5" customHeight="1">
      <c r="C869" s="66"/>
      <c r="D869" s="64"/>
      <c r="E869" s="61"/>
      <c r="F869" s="62"/>
      <c r="G869" s="61"/>
      <c r="H869" s="68"/>
      <c r="I869" s="49"/>
      <c r="J869" s="49"/>
      <c r="K869" s="49"/>
      <c r="L869" s="49"/>
      <c r="M869" s="49"/>
      <c r="N869" s="49"/>
      <c r="O869" s="49"/>
    </row>
    <row r="870" spans="3:15" ht="19.5" customHeight="1">
      <c r="C870" s="66"/>
      <c r="D870" s="64"/>
      <c r="E870" s="61"/>
      <c r="F870" s="62"/>
      <c r="G870" s="61"/>
      <c r="H870" s="68"/>
      <c r="I870" s="49"/>
      <c r="J870" s="49"/>
      <c r="K870" s="49"/>
      <c r="L870" s="49"/>
      <c r="M870" s="49"/>
      <c r="N870" s="49"/>
      <c r="O870" s="49"/>
    </row>
    <row r="871" spans="3:15" ht="19.5" customHeight="1">
      <c r="C871" s="66"/>
      <c r="D871" s="64"/>
      <c r="E871" s="61"/>
      <c r="F871" s="62"/>
      <c r="G871" s="61"/>
      <c r="H871" s="68"/>
      <c r="I871" s="49"/>
      <c r="J871" s="49"/>
      <c r="K871" s="49"/>
      <c r="L871" s="49"/>
      <c r="M871" s="49"/>
      <c r="N871" s="49"/>
      <c r="O871" s="49"/>
    </row>
    <row r="872" spans="3:15" ht="19.5" customHeight="1">
      <c r="C872" s="66"/>
      <c r="D872" s="64"/>
      <c r="E872" s="61"/>
      <c r="F872" s="62"/>
      <c r="G872" s="61"/>
      <c r="H872" s="68"/>
      <c r="I872" s="49"/>
      <c r="J872" s="49"/>
      <c r="K872" s="49"/>
      <c r="L872" s="49"/>
      <c r="M872" s="49"/>
      <c r="N872" s="49"/>
      <c r="O872" s="49"/>
    </row>
    <row r="873" spans="3:15" ht="19.5" customHeight="1">
      <c r="C873" s="66"/>
      <c r="D873" s="64"/>
      <c r="E873" s="61"/>
      <c r="F873" s="62"/>
      <c r="G873" s="61"/>
      <c r="H873" s="68"/>
      <c r="I873" s="49"/>
      <c r="J873" s="49"/>
      <c r="K873" s="49"/>
      <c r="L873" s="49"/>
      <c r="M873" s="49"/>
      <c r="N873" s="49"/>
      <c r="O873" s="49"/>
    </row>
    <row r="874" spans="3:15" ht="19.5" customHeight="1">
      <c r="C874" s="66"/>
      <c r="D874" s="64"/>
      <c r="E874" s="61"/>
      <c r="F874" s="62"/>
      <c r="G874" s="61"/>
      <c r="H874" s="68"/>
      <c r="I874" s="49"/>
      <c r="J874" s="49"/>
      <c r="K874" s="49"/>
      <c r="L874" s="49"/>
      <c r="M874" s="49"/>
      <c r="N874" s="49"/>
      <c r="O874" s="49"/>
    </row>
    <row r="875" spans="3:15" ht="19.5" customHeight="1">
      <c r="C875" s="66"/>
      <c r="D875" s="64"/>
      <c r="E875" s="61"/>
      <c r="F875" s="62"/>
      <c r="G875" s="61"/>
      <c r="H875" s="68"/>
      <c r="I875" s="49"/>
      <c r="J875" s="49"/>
      <c r="K875" s="49"/>
      <c r="L875" s="49"/>
      <c r="M875" s="49"/>
      <c r="N875" s="49"/>
      <c r="O875" s="49"/>
    </row>
    <row r="876" spans="3:15" ht="19.5" customHeight="1">
      <c r="C876" s="66"/>
      <c r="D876" s="64"/>
      <c r="E876" s="61"/>
      <c r="F876" s="62"/>
      <c r="G876" s="61"/>
      <c r="H876" s="68"/>
      <c r="I876" s="49"/>
      <c r="J876" s="49"/>
      <c r="K876" s="49"/>
      <c r="L876" s="49"/>
      <c r="M876" s="49"/>
      <c r="N876" s="49"/>
      <c r="O876" s="49"/>
    </row>
    <row r="877" spans="3:15" ht="19.5" customHeight="1">
      <c r="C877" s="66"/>
      <c r="D877" s="64"/>
      <c r="E877" s="61"/>
      <c r="F877" s="62"/>
      <c r="G877" s="61"/>
      <c r="H877" s="68"/>
      <c r="I877" s="49"/>
      <c r="J877" s="49"/>
      <c r="K877" s="49"/>
      <c r="L877" s="49"/>
      <c r="M877" s="49"/>
      <c r="N877" s="49"/>
      <c r="O877" s="49"/>
    </row>
    <row r="878" spans="3:15" ht="19.5" customHeight="1">
      <c r="C878" s="66"/>
      <c r="D878" s="64"/>
      <c r="E878" s="61"/>
      <c r="F878" s="62"/>
      <c r="G878" s="61"/>
      <c r="H878" s="68"/>
      <c r="I878" s="49"/>
      <c r="J878" s="49"/>
      <c r="K878" s="49"/>
      <c r="L878" s="49"/>
      <c r="M878" s="49"/>
      <c r="N878" s="49"/>
      <c r="O878" s="49"/>
    </row>
    <row r="879" spans="3:15" ht="19.5" customHeight="1">
      <c r="C879" s="66"/>
      <c r="D879" s="64"/>
      <c r="E879" s="61"/>
      <c r="F879" s="62"/>
      <c r="G879" s="61"/>
      <c r="H879" s="68"/>
      <c r="I879" s="49"/>
      <c r="J879" s="49"/>
      <c r="K879" s="49"/>
      <c r="L879" s="49"/>
      <c r="M879" s="49"/>
      <c r="N879" s="49"/>
      <c r="O879" s="49"/>
    </row>
    <row r="880" spans="3:15" ht="19.5" customHeight="1">
      <c r="C880" s="66"/>
      <c r="D880" s="64"/>
      <c r="E880" s="61"/>
      <c r="F880" s="62"/>
      <c r="G880" s="61"/>
      <c r="H880" s="68"/>
      <c r="I880" s="49"/>
      <c r="J880" s="49"/>
      <c r="K880" s="49"/>
      <c r="L880" s="49"/>
      <c r="M880" s="49"/>
      <c r="N880" s="49"/>
      <c r="O880" s="49"/>
    </row>
    <row r="881" spans="3:15" ht="19.5" customHeight="1">
      <c r="C881" s="66"/>
      <c r="D881" s="64"/>
      <c r="E881" s="61"/>
      <c r="F881" s="62"/>
      <c r="G881" s="61"/>
      <c r="H881" s="68"/>
      <c r="I881" s="49"/>
      <c r="J881" s="49"/>
      <c r="K881" s="49"/>
      <c r="L881" s="49"/>
      <c r="M881" s="49"/>
      <c r="N881" s="49"/>
      <c r="O881" s="49"/>
    </row>
    <row r="882" spans="3:15" ht="19.5" customHeight="1">
      <c r="C882" s="66"/>
      <c r="D882" s="64"/>
      <c r="E882" s="61"/>
      <c r="F882" s="62"/>
      <c r="G882" s="61"/>
      <c r="H882" s="68"/>
      <c r="I882" s="49"/>
      <c r="J882" s="49"/>
      <c r="K882" s="49"/>
      <c r="L882" s="49"/>
      <c r="M882" s="49"/>
      <c r="N882" s="49"/>
      <c r="O882" s="49"/>
    </row>
    <row r="883" spans="3:15" ht="19.5" customHeight="1">
      <c r="C883" s="66"/>
      <c r="D883" s="64"/>
      <c r="E883" s="61"/>
      <c r="F883" s="62"/>
      <c r="G883" s="61"/>
      <c r="H883" s="68"/>
      <c r="I883" s="49"/>
      <c r="J883" s="49"/>
      <c r="K883" s="49"/>
      <c r="L883" s="49"/>
      <c r="M883" s="49"/>
      <c r="N883" s="49"/>
      <c r="O883" s="49"/>
    </row>
    <row r="884" spans="3:15" ht="19.5" customHeight="1">
      <c r="C884" s="66"/>
      <c r="D884" s="64"/>
      <c r="E884" s="61"/>
      <c r="F884" s="62"/>
      <c r="G884" s="61"/>
      <c r="H884" s="68"/>
      <c r="I884" s="49"/>
      <c r="J884" s="49"/>
      <c r="K884" s="49"/>
      <c r="L884" s="49"/>
      <c r="M884" s="49"/>
      <c r="N884" s="49"/>
      <c r="O884" s="49"/>
    </row>
    <row r="885" spans="3:15" ht="19.5" customHeight="1">
      <c r="C885" s="66"/>
      <c r="D885" s="64"/>
      <c r="E885" s="61"/>
      <c r="F885" s="62"/>
      <c r="G885" s="61"/>
      <c r="H885" s="68"/>
      <c r="I885" s="49"/>
      <c r="J885" s="49"/>
      <c r="K885" s="49"/>
      <c r="L885" s="49"/>
      <c r="M885" s="49"/>
      <c r="N885" s="49"/>
      <c r="O885" s="49"/>
    </row>
    <row r="886" spans="3:15" ht="19.5" customHeight="1">
      <c r="C886" s="66"/>
      <c r="D886" s="64"/>
      <c r="E886" s="61"/>
      <c r="F886" s="62"/>
      <c r="G886" s="61"/>
      <c r="H886" s="68"/>
      <c r="I886" s="49"/>
      <c r="J886" s="49"/>
      <c r="K886" s="49"/>
      <c r="L886" s="49"/>
      <c r="M886" s="49"/>
      <c r="N886" s="49"/>
      <c r="O886" s="49"/>
    </row>
    <row r="887" spans="3:15" ht="19.5" customHeight="1">
      <c r="C887" s="66"/>
      <c r="D887" s="64"/>
      <c r="E887" s="61"/>
      <c r="F887" s="62"/>
      <c r="G887" s="61"/>
      <c r="H887" s="68"/>
      <c r="I887" s="49"/>
      <c r="J887" s="49"/>
      <c r="K887" s="49"/>
      <c r="L887" s="49"/>
      <c r="M887" s="49"/>
      <c r="N887" s="49"/>
      <c r="O887" s="49"/>
    </row>
    <row r="888" spans="3:15" ht="19.5" customHeight="1">
      <c r="C888" s="66"/>
      <c r="D888" s="64"/>
      <c r="E888" s="61"/>
      <c r="F888" s="62"/>
      <c r="G888" s="61"/>
      <c r="H888" s="68"/>
      <c r="I888" s="49"/>
      <c r="J888" s="49"/>
      <c r="K888" s="49"/>
      <c r="L888" s="49"/>
      <c r="M888" s="49"/>
      <c r="N888" s="49"/>
      <c r="O888" s="49"/>
    </row>
    <row r="889" spans="3:15" ht="19.5" customHeight="1">
      <c r="C889" s="66"/>
      <c r="D889" s="64"/>
      <c r="E889" s="61"/>
      <c r="F889" s="62"/>
      <c r="G889" s="61"/>
      <c r="H889" s="68"/>
      <c r="I889" s="49"/>
      <c r="J889" s="49"/>
      <c r="K889" s="49"/>
      <c r="L889" s="49"/>
      <c r="M889" s="49"/>
      <c r="N889" s="49"/>
      <c r="O889" s="49"/>
    </row>
    <row r="890" spans="3:15" ht="19.5" customHeight="1">
      <c r="C890" s="66"/>
      <c r="D890" s="64"/>
      <c r="E890" s="61"/>
      <c r="F890" s="62"/>
      <c r="G890" s="61"/>
      <c r="H890" s="68"/>
      <c r="I890" s="49"/>
      <c r="J890" s="49"/>
      <c r="K890" s="49"/>
      <c r="L890" s="49"/>
      <c r="M890" s="49"/>
      <c r="N890" s="49"/>
      <c r="O890" s="49"/>
    </row>
    <row r="891" spans="3:15" ht="19.5" customHeight="1">
      <c r="C891" s="66"/>
      <c r="D891" s="64"/>
      <c r="E891" s="61"/>
      <c r="F891" s="62"/>
      <c r="G891" s="61"/>
      <c r="H891" s="68"/>
      <c r="I891" s="49"/>
      <c r="J891" s="49"/>
      <c r="K891" s="49"/>
      <c r="L891" s="49"/>
      <c r="M891" s="49"/>
      <c r="N891" s="49"/>
      <c r="O891" s="49"/>
    </row>
    <row r="892" spans="3:15" ht="19.5" customHeight="1">
      <c r="C892" s="66"/>
      <c r="D892" s="64"/>
      <c r="E892" s="61"/>
      <c r="F892" s="62"/>
      <c r="G892" s="61"/>
      <c r="H892" s="68"/>
      <c r="I892" s="49"/>
      <c r="J892" s="49"/>
      <c r="K892" s="49"/>
      <c r="L892" s="49"/>
      <c r="M892" s="49"/>
      <c r="N892" s="49"/>
      <c r="O892" s="49"/>
    </row>
    <row r="893" spans="3:15" ht="19.5" customHeight="1">
      <c r="C893" s="66"/>
      <c r="D893" s="64"/>
      <c r="E893" s="61"/>
      <c r="F893" s="62"/>
      <c r="G893" s="61"/>
      <c r="H893" s="68"/>
      <c r="I893" s="49"/>
      <c r="J893" s="49"/>
      <c r="K893" s="49"/>
      <c r="L893" s="49"/>
      <c r="M893" s="49"/>
      <c r="N893" s="49"/>
      <c r="O893" s="49"/>
    </row>
    <row r="894" spans="3:15" ht="19.5" customHeight="1">
      <c r="C894" s="66"/>
      <c r="D894" s="64"/>
      <c r="E894" s="61"/>
      <c r="F894" s="62"/>
      <c r="G894" s="61"/>
      <c r="H894" s="68"/>
      <c r="I894" s="49"/>
      <c r="J894" s="49"/>
      <c r="K894" s="49"/>
      <c r="L894" s="49"/>
      <c r="M894" s="49"/>
      <c r="N894" s="49"/>
      <c r="O894" s="49"/>
    </row>
    <row r="895" spans="3:15" ht="19.5" customHeight="1">
      <c r="C895" s="66"/>
      <c r="D895" s="64"/>
      <c r="E895" s="61"/>
      <c r="F895" s="62"/>
      <c r="G895" s="61"/>
      <c r="H895" s="68"/>
      <c r="I895" s="49"/>
      <c r="J895" s="49"/>
      <c r="K895" s="49"/>
      <c r="L895" s="49"/>
      <c r="M895" s="49"/>
      <c r="N895" s="49"/>
      <c r="O895" s="49"/>
    </row>
    <row r="896" spans="3:15" ht="19.5" customHeight="1">
      <c r="C896" s="66"/>
      <c r="D896" s="64"/>
      <c r="E896" s="61"/>
      <c r="F896" s="62"/>
      <c r="G896" s="61"/>
      <c r="H896" s="68"/>
      <c r="I896" s="49"/>
      <c r="J896" s="49"/>
      <c r="K896" s="49"/>
      <c r="L896" s="49"/>
      <c r="M896" s="49"/>
      <c r="N896" s="49"/>
      <c r="O896" s="49"/>
    </row>
    <row r="897" spans="3:15" ht="19.5" customHeight="1">
      <c r="C897" s="66"/>
      <c r="D897" s="64"/>
      <c r="E897" s="61"/>
      <c r="F897" s="62"/>
      <c r="G897" s="61"/>
      <c r="H897" s="68"/>
      <c r="I897" s="49"/>
      <c r="J897" s="49"/>
      <c r="K897" s="49"/>
      <c r="L897" s="49"/>
      <c r="M897" s="49"/>
      <c r="N897" s="49"/>
      <c r="O897" s="49"/>
    </row>
    <row r="898" spans="3:15" ht="19.5" customHeight="1">
      <c r="C898" s="66"/>
      <c r="D898" s="64"/>
      <c r="E898" s="61"/>
      <c r="F898" s="62"/>
      <c r="G898" s="61"/>
      <c r="H898" s="68"/>
      <c r="I898" s="49"/>
      <c r="J898" s="49"/>
      <c r="K898" s="49"/>
      <c r="L898" s="49"/>
      <c r="M898" s="49"/>
      <c r="N898" s="49"/>
      <c r="O898" s="49"/>
    </row>
    <row r="899" spans="3:15" ht="19.5" customHeight="1">
      <c r="C899" s="66"/>
      <c r="D899" s="64"/>
      <c r="E899" s="61"/>
      <c r="F899" s="62"/>
      <c r="G899" s="61"/>
      <c r="H899" s="68"/>
      <c r="I899" s="49"/>
      <c r="J899" s="49"/>
      <c r="K899" s="49"/>
      <c r="L899" s="49"/>
      <c r="M899" s="49"/>
      <c r="N899" s="49"/>
      <c r="O899" s="49"/>
    </row>
    <row r="900" spans="3:15" ht="19.5" customHeight="1">
      <c r="C900" s="66"/>
      <c r="D900" s="64"/>
      <c r="E900" s="61"/>
      <c r="F900" s="62"/>
      <c r="G900" s="61"/>
      <c r="H900" s="68"/>
      <c r="I900" s="49"/>
      <c r="J900" s="49"/>
      <c r="K900" s="49"/>
      <c r="L900" s="49"/>
      <c r="M900" s="49"/>
      <c r="N900" s="49"/>
      <c r="O900" s="49"/>
    </row>
    <row r="901" spans="3:15" ht="19.5" customHeight="1">
      <c r="C901" s="66"/>
      <c r="D901" s="64"/>
      <c r="E901" s="61"/>
      <c r="F901" s="62"/>
      <c r="G901" s="61"/>
      <c r="H901" s="68"/>
      <c r="I901" s="49"/>
      <c r="J901" s="49"/>
      <c r="K901" s="49"/>
      <c r="L901" s="49"/>
      <c r="M901" s="49"/>
      <c r="N901" s="49"/>
      <c r="O901" s="49"/>
    </row>
    <row r="902" spans="3:15" ht="19.5" customHeight="1">
      <c r="C902" s="66"/>
      <c r="D902" s="64"/>
      <c r="E902" s="61"/>
      <c r="F902" s="62"/>
      <c r="G902" s="61"/>
      <c r="H902" s="68"/>
      <c r="I902" s="49"/>
      <c r="J902" s="49"/>
      <c r="K902" s="49"/>
      <c r="L902" s="49"/>
      <c r="M902" s="49"/>
      <c r="N902" s="49"/>
      <c r="O902" s="49"/>
    </row>
    <row r="903" spans="3:15" ht="19.5" customHeight="1">
      <c r="C903" s="66"/>
      <c r="D903" s="64"/>
      <c r="E903" s="61"/>
      <c r="F903" s="62"/>
      <c r="G903" s="61"/>
      <c r="H903" s="68"/>
      <c r="I903" s="49"/>
      <c r="J903" s="49"/>
      <c r="K903" s="49"/>
      <c r="L903" s="49"/>
      <c r="M903" s="49"/>
      <c r="N903" s="49"/>
      <c r="O903" s="49"/>
    </row>
    <row r="904" spans="3:15" ht="19.5" customHeight="1">
      <c r="C904" s="66"/>
      <c r="D904" s="64"/>
      <c r="E904" s="61"/>
      <c r="F904" s="62"/>
      <c r="G904" s="61"/>
      <c r="H904" s="68"/>
      <c r="I904" s="49"/>
      <c r="J904" s="49"/>
      <c r="K904" s="49"/>
      <c r="L904" s="49"/>
      <c r="M904" s="49"/>
      <c r="N904" s="49"/>
      <c r="O904" s="49"/>
    </row>
    <row r="905" spans="3:15" ht="19.5" customHeight="1">
      <c r="C905" s="66"/>
      <c r="D905" s="64"/>
      <c r="E905" s="61"/>
      <c r="F905" s="62"/>
      <c r="G905" s="61"/>
      <c r="H905" s="68"/>
      <c r="I905" s="49"/>
      <c r="J905" s="49"/>
      <c r="K905" s="49"/>
      <c r="L905" s="49"/>
      <c r="M905" s="49"/>
      <c r="N905" s="49"/>
      <c r="O905" s="49"/>
    </row>
    <row r="906" spans="3:15" ht="19.5" customHeight="1">
      <c r="C906" s="66"/>
      <c r="D906" s="64"/>
      <c r="E906" s="61"/>
      <c r="F906" s="62"/>
      <c r="G906" s="61"/>
      <c r="H906" s="68"/>
      <c r="I906" s="49"/>
      <c r="J906" s="49"/>
      <c r="K906" s="49"/>
      <c r="L906" s="49"/>
      <c r="M906" s="49"/>
      <c r="N906" s="49"/>
      <c r="O906" s="49"/>
    </row>
    <row r="907" spans="3:15" ht="19.5" customHeight="1">
      <c r="C907" s="66"/>
      <c r="D907" s="64"/>
      <c r="E907" s="61"/>
      <c r="F907" s="62"/>
      <c r="G907" s="61"/>
      <c r="H907" s="68"/>
      <c r="I907" s="49"/>
      <c r="J907" s="49"/>
      <c r="K907" s="49"/>
      <c r="L907" s="49"/>
      <c r="M907" s="49"/>
      <c r="N907" s="49"/>
      <c r="O907" s="49"/>
    </row>
    <row r="908" spans="3:15" ht="19.5" customHeight="1">
      <c r="C908" s="66"/>
      <c r="D908" s="64"/>
      <c r="E908" s="61"/>
      <c r="F908" s="62"/>
      <c r="G908" s="61"/>
      <c r="H908" s="68"/>
      <c r="I908" s="49"/>
      <c r="J908" s="49"/>
      <c r="K908" s="49"/>
      <c r="L908" s="49"/>
      <c r="M908" s="49"/>
      <c r="N908" s="49"/>
      <c r="O908" s="49"/>
    </row>
    <row r="909" spans="3:15" ht="19.5" customHeight="1">
      <c r="C909" s="66"/>
      <c r="D909" s="64"/>
      <c r="E909" s="61"/>
      <c r="F909" s="62"/>
      <c r="G909" s="61"/>
      <c r="H909" s="68"/>
      <c r="I909" s="49"/>
      <c r="J909" s="49"/>
      <c r="K909" s="49"/>
      <c r="L909" s="49"/>
      <c r="M909" s="49"/>
      <c r="N909" s="49"/>
      <c r="O909" s="49"/>
    </row>
    <row r="910" spans="3:15" ht="19.5" customHeight="1">
      <c r="C910" s="66"/>
      <c r="D910" s="64"/>
      <c r="E910" s="61"/>
      <c r="F910" s="62"/>
      <c r="G910" s="61"/>
      <c r="H910" s="68"/>
      <c r="I910" s="49"/>
      <c r="J910" s="49"/>
      <c r="K910" s="49"/>
      <c r="L910" s="49"/>
      <c r="M910" s="49"/>
      <c r="N910" s="49"/>
      <c r="O910" s="49"/>
    </row>
    <row r="911" spans="3:15" ht="19.5" customHeight="1">
      <c r="C911" s="66"/>
      <c r="D911" s="64"/>
      <c r="E911" s="61"/>
      <c r="F911" s="62"/>
      <c r="G911" s="61"/>
      <c r="H911" s="68"/>
      <c r="I911" s="49"/>
      <c r="J911" s="49"/>
      <c r="K911" s="49"/>
      <c r="L911" s="49"/>
      <c r="M911" s="49"/>
      <c r="N911" s="49"/>
      <c r="O911" s="49"/>
    </row>
    <row r="912" spans="3:15" ht="19.5" customHeight="1">
      <c r="C912" s="66"/>
      <c r="D912" s="64"/>
      <c r="E912" s="61"/>
      <c r="F912" s="62"/>
      <c r="G912" s="61"/>
      <c r="H912" s="68"/>
      <c r="I912" s="49"/>
      <c r="J912" s="49"/>
      <c r="K912" s="49"/>
      <c r="L912" s="49"/>
      <c r="M912" s="49"/>
      <c r="N912" s="49"/>
      <c r="O912" s="49"/>
    </row>
    <row r="913" spans="3:15" ht="19.5" customHeight="1">
      <c r="C913" s="66"/>
      <c r="D913" s="64"/>
      <c r="E913" s="61"/>
      <c r="F913" s="62"/>
      <c r="G913" s="61"/>
      <c r="H913" s="68"/>
      <c r="I913" s="49"/>
      <c r="J913" s="49"/>
      <c r="K913" s="49"/>
      <c r="L913" s="49"/>
      <c r="M913" s="49"/>
      <c r="N913" s="49"/>
      <c r="O913" s="49"/>
    </row>
    <row r="914" spans="3:15" ht="19.5" customHeight="1">
      <c r="C914" s="66"/>
      <c r="D914" s="64"/>
      <c r="E914" s="61"/>
      <c r="F914" s="62"/>
      <c r="G914" s="61"/>
      <c r="H914" s="68"/>
      <c r="I914" s="49"/>
      <c r="J914" s="49"/>
      <c r="K914" s="49"/>
      <c r="L914" s="49"/>
      <c r="M914" s="49"/>
      <c r="N914" s="49"/>
      <c r="O914" s="49"/>
    </row>
    <row r="915" spans="3:15" ht="19.5" customHeight="1">
      <c r="C915" s="66"/>
      <c r="D915" s="64"/>
      <c r="E915" s="61"/>
      <c r="F915" s="62"/>
      <c r="G915" s="61"/>
      <c r="H915" s="68"/>
      <c r="I915" s="49"/>
      <c r="J915" s="49"/>
      <c r="K915" s="49"/>
      <c r="L915" s="49"/>
      <c r="M915" s="49"/>
      <c r="N915" s="49"/>
      <c r="O915" s="49"/>
    </row>
    <row r="916" spans="3:15" ht="19.5" customHeight="1">
      <c r="C916" s="66"/>
      <c r="D916" s="64"/>
      <c r="E916" s="61"/>
      <c r="F916" s="62"/>
      <c r="G916" s="61"/>
      <c r="H916" s="68"/>
      <c r="I916" s="49"/>
      <c r="J916" s="49"/>
      <c r="K916" s="49"/>
      <c r="L916" s="49"/>
      <c r="M916" s="49"/>
      <c r="N916" s="49"/>
      <c r="O916" s="49"/>
    </row>
    <row r="917" spans="3:15" ht="19.5" customHeight="1">
      <c r="C917" s="66"/>
      <c r="D917" s="64"/>
      <c r="E917" s="61"/>
      <c r="F917" s="62"/>
      <c r="G917" s="61"/>
      <c r="H917" s="68"/>
      <c r="I917" s="49"/>
      <c r="J917" s="49"/>
      <c r="K917" s="49"/>
      <c r="L917" s="49"/>
      <c r="M917" s="49"/>
      <c r="N917" s="49"/>
      <c r="O917" s="49"/>
    </row>
    <row r="918" spans="3:15" ht="19.5" customHeight="1">
      <c r="C918" s="66"/>
      <c r="D918" s="64"/>
      <c r="E918" s="61"/>
      <c r="F918" s="62"/>
      <c r="G918" s="61"/>
      <c r="H918" s="68"/>
      <c r="I918" s="49"/>
      <c r="J918" s="49"/>
      <c r="K918" s="49"/>
      <c r="L918" s="49"/>
      <c r="M918" s="49"/>
      <c r="N918" s="49"/>
      <c r="O918" s="49"/>
    </row>
    <row r="919" spans="3:15" ht="19.5" customHeight="1">
      <c r="C919" s="66"/>
      <c r="D919" s="64"/>
      <c r="E919" s="61"/>
      <c r="F919" s="62"/>
      <c r="G919" s="61"/>
      <c r="H919" s="68"/>
      <c r="I919" s="49"/>
      <c r="J919" s="49"/>
      <c r="K919" s="49"/>
      <c r="L919" s="49"/>
      <c r="M919" s="49"/>
      <c r="N919" s="49"/>
      <c r="O919" s="49"/>
    </row>
    <row r="920" spans="3:15" ht="19.5" customHeight="1">
      <c r="C920" s="66"/>
      <c r="D920" s="64"/>
      <c r="E920" s="61"/>
      <c r="F920" s="62"/>
      <c r="G920" s="61"/>
      <c r="H920" s="68"/>
      <c r="I920" s="49"/>
      <c r="J920" s="49"/>
      <c r="K920" s="49"/>
      <c r="L920" s="49"/>
      <c r="M920" s="49"/>
      <c r="N920" s="49"/>
      <c r="O920" s="49"/>
    </row>
    <row r="921" spans="3:15" ht="19.5" customHeight="1">
      <c r="C921" s="66"/>
      <c r="D921" s="64"/>
      <c r="E921" s="61"/>
      <c r="F921" s="62"/>
      <c r="G921" s="61"/>
      <c r="H921" s="68"/>
      <c r="I921" s="49"/>
      <c r="J921" s="49"/>
      <c r="K921" s="49"/>
      <c r="L921" s="49"/>
      <c r="M921" s="49"/>
      <c r="N921" s="49"/>
      <c r="O921" s="49"/>
    </row>
    <row r="922" spans="3:15" ht="19.5" customHeight="1">
      <c r="C922" s="66"/>
      <c r="D922" s="64"/>
      <c r="E922" s="61"/>
      <c r="F922" s="62"/>
      <c r="G922" s="61"/>
      <c r="H922" s="68"/>
      <c r="I922" s="49"/>
      <c r="J922" s="49"/>
      <c r="K922" s="49"/>
      <c r="L922" s="49"/>
      <c r="M922" s="49"/>
      <c r="N922" s="49"/>
      <c r="O922" s="49"/>
    </row>
    <row r="923" spans="3:15" ht="19.5" customHeight="1">
      <c r="C923" s="66"/>
      <c r="D923" s="64"/>
      <c r="E923" s="61"/>
      <c r="F923" s="62"/>
      <c r="G923" s="61"/>
      <c r="H923" s="68"/>
      <c r="I923" s="49"/>
      <c r="J923" s="49"/>
      <c r="K923" s="49"/>
      <c r="L923" s="49"/>
      <c r="M923" s="49"/>
      <c r="N923" s="49"/>
      <c r="O923" s="49"/>
    </row>
    <row r="924" spans="3:15" ht="19.5" customHeight="1">
      <c r="C924" s="66"/>
      <c r="D924" s="64"/>
      <c r="E924" s="61"/>
      <c r="F924" s="62"/>
      <c r="G924" s="61"/>
      <c r="H924" s="68"/>
      <c r="I924" s="49"/>
      <c r="J924" s="49"/>
      <c r="K924" s="49"/>
      <c r="L924" s="49"/>
      <c r="M924" s="49"/>
      <c r="N924" s="49"/>
      <c r="O924" s="49"/>
    </row>
    <row r="925" spans="3:15" ht="19.5" customHeight="1">
      <c r="C925" s="66"/>
      <c r="D925" s="64"/>
      <c r="E925" s="61"/>
      <c r="F925" s="62"/>
      <c r="G925" s="61"/>
      <c r="H925" s="68"/>
      <c r="I925" s="49"/>
      <c r="J925" s="49"/>
      <c r="K925" s="49"/>
      <c r="L925" s="49"/>
      <c r="M925" s="49"/>
      <c r="N925" s="49"/>
      <c r="O925" s="49"/>
    </row>
    <row r="926" spans="3:15" ht="19.5" customHeight="1">
      <c r="C926" s="66"/>
      <c r="D926" s="64"/>
      <c r="E926" s="61"/>
      <c r="F926" s="62"/>
      <c r="G926" s="61"/>
      <c r="H926" s="68"/>
      <c r="I926" s="49"/>
      <c r="J926" s="49"/>
      <c r="K926" s="49"/>
      <c r="L926" s="49"/>
      <c r="M926" s="49"/>
      <c r="N926" s="49"/>
      <c r="O926" s="49"/>
    </row>
    <row r="927" spans="3:15" ht="19.5" customHeight="1">
      <c r="C927" s="66"/>
      <c r="D927" s="64"/>
      <c r="E927" s="61"/>
      <c r="F927" s="62"/>
      <c r="G927" s="61"/>
      <c r="H927" s="68"/>
      <c r="I927" s="49"/>
      <c r="J927" s="49"/>
      <c r="K927" s="49"/>
      <c r="L927" s="49"/>
      <c r="M927" s="49"/>
      <c r="N927" s="49"/>
      <c r="O927" s="49"/>
    </row>
    <row r="928" spans="3:15" ht="19.5" customHeight="1">
      <c r="C928" s="66"/>
      <c r="D928" s="64"/>
      <c r="E928" s="61"/>
      <c r="F928" s="62"/>
      <c r="G928" s="61"/>
      <c r="H928" s="68"/>
      <c r="I928" s="49"/>
      <c r="J928" s="49"/>
      <c r="K928" s="49"/>
      <c r="L928" s="49"/>
      <c r="M928" s="49"/>
      <c r="N928" s="49"/>
      <c r="O928" s="49"/>
    </row>
    <row r="929" spans="3:15" ht="19.5" customHeight="1">
      <c r="C929" s="66"/>
      <c r="D929" s="64"/>
      <c r="E929" s="61"/>
      <c r="F929" s="62"/>
      <c r="G929" s="61"/>
      <c r="H929" s="68"/>
      <c r="I929" s="49"/>
      <c r="J929" s="49"/>
      <c r="K929" s="49"/>
      <c r="L929" s="49"/>
      <c r="M929" s="49"/>
      <c r="N929" s="49"/>
      <c r="O929" s="49"/>
    </row>
    <row r="930" spans="3:15" ht="19.5" customHeight="1">
      <c r="C930" s="66"/>
      <c r="D930" s="64"/>
      <c r="E930" s="61"/>
      <c r="F930" s="62"/>
      <c r="G930" s="61"/>
      <c r="H930" s="68"/>
      <c r="I930" s="49"/>
      <c r="J930" s="49"/>
      <c r="K930" s="49"/>
      <c r="L930" s="49"/>
      <c r="M930" s="49"/>
      <c r="N930" s="49"/>
      <c r="O930" s="49"/>
    </row>
    <row r="931" spans="3:15" ht="19.5" customHeight="1">
      <c r="C931" s="66"/>
      <c r="D931" s="64"/>
      <c r="E931" s="61"/>
      <c r="F931" s="62"/>
      <c r="G931" s="61"/>
      <c r="H931" s="68"/>
      <c r="I931" s="49"/>
      <c r="J931" s="49"/>
      <c r="K931" s="49"/>
      <c r="L931" s="49"/>
      <c r="M931" s="49"/>
      <c r="N931" s="49"/>
      <c r="O931" s="49"/>
    </row>
    <row r="932" spans="3:15" ht="19.5" customHeight="1">
      <c r="C932" s="66"/>
      <c r="D932" s="64"/>
      <c r="E932" s="61"/>
      <c r="F932" s="62"/>
      <c r="G932" s="61"/>
      <c r="H932" s="68"/>
      <c r="I932" s="49"/>
      <c r="J932" s="49"/>
      <c r="K932" s="49"/>
      <c r="L932" s="49"/>
      <c r="M932" s="49"/>
      <c r="N932" s="49"/>
      <c r="O932" s="49"/>
    </row>
    <row r="933" spans="3:15" ht="19.5" customHeight="1">
      <c r="C933" s="66"/>
      <c r="D933" s="64"/>
      <c r="E933" s="61"/>
      <c r="F933" s="62"/>
      <c r="G933" s="61"/>
      <c r="H933" s="68"/>
      <c r="I933" s="49"/>
      <c r="J933" s="49"/>
      <c r="K933" s="49"/>
      <c r="L933" s="49"/>
      <c r="M933" s="49"/>
      <c r="N933" s="49"/>
      <c r="O933" s="49"/>
    </row>
    <row r="934" spans="3:15" ht="19.5" customHeight="1">
      <c r="C934" s="66"/>
      <c r="D934" s="64"/>
      <c r="E934" s="61"/>
      <c r="F934" s="62"/>
      <c r="G934" s="61"/>
      <c r="H934" s="68"/>
      <c r="I934" s="49"/>
      <c r="J934" s="49"/>
      <c r="K934" s="49"/>
      <c r="L934" s="49"/>
      <c r="M934" s="49"/>
      <c r="N934" s="49"/>
      <c r="O934" s="49"/>
    </row>
    <row r="935" spans="3:15" ht="19.5" customHeight="1">
      <c r="C935" s="66"/>
      <c r="D935" s="64"/>
      <c r="E935" s="61"/>
      <c r="F935" s="62"/>
      <c r="G935" s="61"/>
      <c r="H935" s="68"/>
      <c r="I935" s="49"/>
      <c r="J935" s="49"/>
      <c r="K935" s="49"/>
      <c r="L935" s="49"/>
      <c r="M935" s="49"/>
      <c r="N935" s="49"/>
      <c r="O935" s="49"/>
    </row>
    <row r="936" spans="3:15" ht="19.5" customHeight="1">
      <c r="C936" s="66"/>
      <c r="D936" s="64"/>
      <c r="E936" s="61"/>
      <c r="F936" s="62"/>
      <c r="G936" s="61"/>
      <c r="H936" s="68"/>
      <c r="I936" s="49"/>
      <c r="J936" s="49"/>
      <c r="K936" s="49"/>
      <c r="L936" s="49"/>
      <c r="M936" s="49"/>
      <c r="N936" s="49"/>
      <c r="O936" s="49"/>
    </row>
    <row r="937" spans="3:15" ht="19.5" customHeight="1">
      <c r="C937" s="66"/>
      <c r="D937" s="64"/>
      <c r="E937" s="61"/>
      <c r="F937" s="62"/>
      <c r="G937" s="61"/>
      <c r="H937" s="68"/>
      <c r="I937" s="49"/>
      <c r="J937" s="49"/>
      <c r="K937" s="49"/>
      <c r="L937" s="49"/>
      <c r="M937" s="49"/>
      <c r="N937" s="49"/>
      <c r="O937" s="49"/>
    </row>
    <row r="938" spans="3:15" ht="19.5" customHeight="1">
      <c r="C938" s="66"/>
      <c r="D938" s="64"/>
      <c r="E938" s="61"/>
      <c r="F938" s="62"/>
      <c r="G938" s="61"/>
      <c r="H938" s="68"/>
      <c r="I938" s="49"/>
      <c r="J938" s="49"/>
      <c r="K938" s="49"/>
      <c r="L938" s="49"/>
      <c r="M938" s="49"/>
      <c r="N938" s="49"/>
      <c r="O938" s="49"/>
    </row>
    <row r="939" spans="3:15" ht="19.5" customHeight="1">
      <c r="C939" s="66"/>
      <c r="D939" s="64"/>
      <c r="E939" s="61"/>
      <c r="F939" s="62"/>
      <c r="G939" s="61"/>
      <c r="H939" s="68"/>
      <c r="I939" s="49"/>
      <c r="J939" s="49"/>
      <c r="K939" s="49"/>
      <c r="L939" s="49"/>
      <c r="M939" s="49"/>
      <c r="N939" s="49"/>
      <c r="O939" s="49"/>
    </row>
    <row r="940" spans="3:15" ht="19.5" customHeight="1">
      <c r="C940" s="66"/>
      <c r="D940" s="64"/>
      <c r="E940" s="61"/>
      <c r="F940" s="62"/>
      <c r="G940" s="61"/>
      <c r="H940" s="68"/>
      <c r="I940" s="49"/>
      <c r="J940" s="49"/>
      <c r="K940" s="49"/>
      <c r="L940" s="49"/>
      <c r="M940" s="49"/>
      <c r="N940" s="49"/>
      <c r="O940" s="49"/>
    </row>
    <row r="941" spans="3:15" ht="19.5" customHeight="1">
      <c r="C941" s="66"/>
      <c r="D941" s="64"/>
      <c r="E941" s="61"/>
      <c r="F941" s="62"/>
      <c r="G941" s="61"/>
      <c r="H941" s="68"/>
      <c r="I941" s="49"/>
      <c r="J941" s="49"/>
      <c r="K941" s="49"/>
      <c r="L941" s="49"/>
      <c r="M941" s="49"/>
      <c r="N941" s="49"/>
      <c r="O941" s="49"/>
    </row>
    <row r="942" spans="3:15" ht="19.5" customHeight="1">
      <c r="C942" s="66"/>
      <c r="D942" s="64"/>
      <c r="E942" s="61"/>
      <c r="F942" s="62"/>
      <c r="G942" s="61"/>
      <c r="H942" s="68"/>
      <c r="I942" s="49"/>
      <c r="J942" s="49"/>
      <c r="K942" s="49"/>
      <c r="L942" s="49"/>
      <c r="M942" s="49"/>
      <c r="N942" s="49"/>
      <c r="O942" s="49"/>
    </row>
    <row r="943" spans="3:15" ht="19.5" customHeight="1">
      <c r="C943" s="66"/>
      <c r="D943" s="64"/>
      <c r="E943" s="61"/>
      <c r="F943" s="62"/>
      <c r="G943" s="61"/>
      <c r="H943" s="68"/>
      <c r="I943" s="49"/>
      <c r="J943" s="49"/>
      <c r="K943" s="49"/>
      <c r="L943" s="49"/>
      <c r="M943" s="49"/>
      <c r="N943" s="49"/>
      <c r="O943" s="49"/>
    </row>
    <row r="944" spans="3:15" ht="19.5" customHeight="1">
      <c r="C944" s="66"/>
      <c r="D944" s="64"/>
      <c r="E944" s="61"/>
      <c r="F944" s="62"/>
      <c r="G944" s="61"/>
      <c r="H944" s="68"/>
      <c r="I944" s="49"/>
      <c r="J944" s="49"/>
      <c r="K944" s="49"/>
      <c r="L944" s="49"/>
      <c r="M944" s="49"/>
      <c r="N944" s="49"/>
      <c r="O944" s="49"/>
    </row>
    <row r="945" spans="3:15" ht="19.5" customHeight="1">
      <c r="C945" s="66"/>
      <c r="D945" s="64"/>
      <c r="E945" s="61"/>
      <c r="F945" s="62"/>
      <c r="G945" s="61"/>
      <c r="H945" s="68"/>
      <c r="I945" s="49"/>
      <c r="J945" s="49"/>
      <c r="K945" s="49"/>
      <c r="L945" s="49"/>
      <c r="M945" s="49"/>
      <c r="N945" s="49"/>
      <c r="O945" s="49"/>
    </row>
    <row r="946" spans="3:15" ht="19.5" customHeight="1">
      <c r="C946" s="66"/>
      <c r="D946" s="64"/>
      <c r="E946" s="61"/>
      <c r="F946" s="62"/>
      <c r="G946" s="61"/>
      <c r="H946" s="68"/>
      <c r="I946" s="49"/>
      <c r="J946" s="49"/>
      <c r="K946" s="49"/>
      <c r="L946" s="49"/>
      <c r="M946" s="49"/>
      <c r="N946" s="49"/>
      <c r="O946" s="49"/>
    </row>
    <row r="947" spans="3:15" ht="19.5" customHeight="1">
      <c r="C947" s="66"/>
      <c r="D947" s="64"/>
      <c r="E947" s="61"/>
      <c r="F947" s="62"/>
      <c r="G947" s="61"/>
      <c r="H947" s="68"/>
      <c r="I947" s="49"/>
      <c r="J947" s="49"/>
      <c r="K947" s="49"/>
      <c r="L947" s="49"/>
      <c r="M947" s="49"/>
      <c r="N947" s="49"/>
      <c r="O947" s="49"/>
    </row>
    <row r="948" spans="3:15" ht="19.5" customHeight="1">
      <c r="C948" s="66"/>
      <c r="D948" s="64"/>
      <c r="E948" s="61"/>
      <c r="F948" s="62"/>
      <c r="G948" s="61"/>
      <c r="H948" s="68"/>
      <c r="I948" s="49"/>
      <c r="J948" s="49"/>
      <c r="K948" s="49"/>
      <c r="L948" s="49"/>
      <c r="M948" s="49"/>
      <c r="N948" s="49"/>
      <c r="O948" s="49"/>
    </row>
    <row r="949" spans="3:15" ht="19.5" customHeight="1">
      <c r="C949" s="66"/>
      <c r="D949" s="64"/>
      <c r="E949" s="61"/>
      <c r="F949" s="62"/>
      <c r="G949" s="61"/>
      <c r="H949" s="68"/>
      <c r="I949" s="49"/>
      <c r="J949" s="49"/>
      <c r="K949" s="49"/>
      <c r="L949" s="49"/>
      <c r="M949" s="49"/>
      <c r="N949" s="49"/>
      <c r="O949" s="49"/>
    </row>
    <row r="950" spans="3:15" ht="19.5" customHeight="1">
      <c r="C950" s="66"/>
      <c r="D950" s="64"/>
      <c r="E950" s="61"/>
      <c r="F950" s="62"/>
      <c r="G950" s="61"/>
      <c r="H950" s="68"/>
      <c r="I950" s="49"/>
      <c r="J950" s="49"/>
      <c r="K950" s="49"/>
      <c r="L950" s="49"/>
      <c r="M950" s="49"/>
      <c r="N950" s="49"/>
      <c r="O950" s="49"/>
    </row>
    <row r="951" spans="3:15" ht="19.5" customHeight="1">
      <c r="C951" s="66"/>
      <c r="D951" s="64"/>
      <c r="E951" s="61"/>
      <c r="F951" s="62"/>
      <c r="G951" s="61"/>
      <c r="H951" s="68"/>
      <c r="I951" s="49"/>
      <c r="J951" s="49"/>
      <c r="K951" s="49"/>
      <c r="L951" s="49"/>
      <c r="M951" s="49"/>
      <c r="N951" s="49"/>
      <c r="O951" s="49"/>
    </row>
    <row r="952" spans="3:15" ht="19.5" customHeight="1">
      <c r="C952" s="66"/>
      <c r="D952" s="64"/>
      <c r="E952" s="61"/>
      <c r="F952" s="62"/>
      <c r="G952" s="61"/>
      <c r="H952" s="68"/>
      <c r="I952" s="49"/>
      <c r="J952" s="49"/>
      <c r="K952" s="49"/>
      <c r="L952" s="49"/>
      <c r="M952" s="49"/>
      <c r="N952" s="49"/>
      <c r="O952" s="49"/>
    </row>
    <row r="953" spans="3:15" ht="19.5" customHeight="1">
      <c r="C953" s="66"/>
      <c r="D953" s="64"/>
      <c r="E953" s="61"/>
      <c r="F953" s="62"/>
      <c r="G953" s="61"/>
      <c r="H953" s="68"/>
      <c r="I953" s="49"/>
      <c r="J953" s="49"/>
      <c r="K953" s="49"/>
      <c r="L953" s="49"/>
      <c r="M953" s="49"/>
      <c r="N953" s="49"/>
      <c r="O953" s="49"/>
    </row>
    <row r="954" spans="3:15" ht="19.5" customHeight="1">
      <c r="C954" s="66"/>
      <c r="D954" s="64"/>
      <c r="E954" s="61"/>
      <c r="F954" s="62"/>
      <c r="G954" s="61"/>
      <c r="H954" s="68"/>
      <c r="I954" s="49"/>
      <c r="J954" s="49"/>
      <c r="K954" s="49"/>
      <c r="L954" s="49"/>
      <c r="M954" s="49"/>
      <c r="N954" s="49"/>
      <c r="O954" s="49"/>
    </row>
    <row r="955" spans="3:15" ht="19.5" customHeight="1">
      <c r="C955" s="66"/>
      <c r="D955" s="64"/>
      <c r="E955" s="61"/>
      <c r="F955" s="62"/>
      <c r="G955" s="61"/>
      <c r="H955" s="68"/>
      <c r="I955" s="49"/>
      <c r="J955" s="49"/>
      <c r="K955" s="49"/>
      <c r="L955" s="49"/>
      <c r="M955" s="49"/>
      <c r="N955" s="49"/>
      <c r="O955" s="49"/>
    </row>
    <row r="956" spans="3:15" ht="19.5" customHeight="1">
      <c r="C956" s="66"/>
      <c r="D956" s="64"/>
      <c r="E956" s="61"/>
      <c r="F956" s="62"/>
      <c r="G956" s="61"/>
      <c r="H956" s="68"/>
      <c r="I956" s="49"/>
      <c r="J956" s="49"/>
      <c r="K956" s="49"/>
      <c r="L956" s="49"/>
      <c r="M956" s="49"/>
      <c r="N956" s="49"/>
      <c r="O956" s="49"/>
    </row>
    <row r="957" spans="3:15" ht="19.5" customHeight="1">
      <c r="C957" s="66"/>
      <c r="D957" s="64"/>
      <c r="E957" s="61"/>
      <c r="F957" s="62"/>
      <c r="G957" s="61"/>
      <c r="H957" s="68"/>
      <c r="I957" s="49"/>
      <c r="J957" s="49"/>
      <c r="K957" s="49"/>
      <c r="L957" s="49"/>
      <c r="M957" s="49"/>
      <c r="N957" s="49"/>
      <c r="O957" s="49"/>
    </row>
    <row r="958" spans="3:15" ht="19.5" customHeight="1">
      <c r="C958" s="66"/>
      <c r="D958" s="64"/>
      <c r="E958" s="61"/>
      <c r="F958" s="62"/>
      <c r="G958" s="61"/>
      <c r="H958" s="68"/>
      <c r="I958" s="49"/>
      <c r="J958" s="49"/>
      <c r="K958" s="49"/>
      <c r="L958" s="49"/>
      <c r="M958" s="49"/>
      <c r="N958" s="49"/>
      <c r="O958" s="49"/>
    </row>
    <row r="959" spans="3:15" ht="19.5" customHeight="1">
      <c r="C959" s="66"/>
      <c r="D959" s="64"/>
      <c r="E959" s="61"/>
      <c r="F959" s="62"/>
      <c r="G959" s="61"/>
      <c r="H959" s="68"/>
      <c r="I959" s="49"/>
      <c r="J959" s="49"/>
      <c r="K959" s="49"/>
      <c r="L959" s="49"/>
      <c r="M959" s="49"/>
      <c r="N959" s="49"/>
      <c r="O959" s="49"/>
    </row>
    <row r="960" spans="3:15" ht="19.5" customHeight="1">
      <c r="C960" s="66"/>
      <c r="D960" s="64"/>
      <c r="E960" s="61"/>
      <c r="F960" s="62"/>
      <c r="G960" s="61"/>
      <c r="H960" s="68"/>
      <c r="I960" s="49"/>
      <c r="J960" s="49"/>
      <c r="K960" s="49"/>
      <c r="L960" s="49"/>
      <c r="M960" s="49"/>
      <c r="N960" s="49"/>
      <c r="O960" s="49"/>
    </row>
    <row r="961" spans="3:15" ht="19.5" customHeight="1">
      <c r="C961" s="66"/>
      <c r="D961" s="64"/>
      <c r="E961" s="61"/>
      <c r="F961" s="62"/>
      <c r="G961" s="61"/>
      <c r="H961" s="68"/>
      <c r="I961" s="49"/>
      <c r="J961" s="49"/>
      <c r="K961" s="49"/>
      <c r="L961" s="49"/>
      <c r="M961" s="49"/>
      <c r="N961" s="49"/>
      <c r="O961" s="49"/>
    </row>
    <row r="962" spans="3:15" ht="19.5" customHeight="1">
      <c r="C962" s="66"/>
      <c r="D962" s="64"/>
      <c r="E962" s="61"/>
      <c r="F962" s="62"/>
      <c r="G962" s="61"/>
      <c r="H962" s="68"/>
      <c r="I962" s="49"/>
      <c r="J962" s="49"/>
      <c r="K962" s="49"/>
      <c r="L962" s="49"/>
      <c r="M962" s="49"/>
      <c r="N962" s="49"/>
      <c r="O962" s="49"/>
    </row>
    <row r="963" spans="3:15" ht="19.5" customHeight="1">
      <c r="C963" s="66"/>
      <c r="D963" s="64"/>
      <c r="E963" s="61"/>
      <c r="F963" s="62"/>
      <c r="G963" s="61"/>
      <c r="H963" s="68"/>
      <c r="I963" s="49"/>
      <c r="J963" s="49"/>
      <c r="K963" s="49"/>
      <c r="L963" s="49"/>
      <c r="M963" s="49"/>
      <c r="N963" s="49"/>
      <c r="O963" s="49"/>
    </row>
    <row r="964" spans="3:15" ht="19.5" customHeight="1">
      <c r="C964" s="66"/>
      <c r="D964" s="64"/>
      <c r="E964" s="61"/>
      <c r="F964" s="62"/>
      <c r="G964" s="61"/>
      <c r="H964" s="68"/>
      <c r="I964" s="49"/>
      <c r="J964" s="49"/>
      <c r="K964" s="49"/>
      <c r="L964" s="49"/>
      <c r="M964" s="49"/>
      <c r="N964" s="49"/>
      <c r="O964" s="49"/>
    </row>
    <row r="965" spans="3:15" ht="19.5" customHeight="1">
      <c r="C965" s="66"/>
      <c r="D965" s="64"/>
      <c r="E965" s="61"/>
      <c r="F965" s="62"/>
      <c r="G965" s="61"/>
      <c r="H965" s="68"/>
      <c r="I965" s="49"/>
      <c r="J965" s="49"/>
      <c r="K965" s="49"/>
      <c r="L965" s="49"/>
      <c r="M965" s="49"/>
      <c r="N965" s="49"/>
      <c r="O965" s="49"/>
    </row>
    <row r="966" spans="3:15" ht="19.5" customHeight="1">
      <c r="C966" s="66"/>
      <c r="D966" s="64"/>
      <c r="E966" s="61"/>
      <c r="F966" s="62"/>
      <c r="G966" s="61"/>
      <c r="H966" s="68"/>
      <c r="I966" s="49"/>
      <c r="J966" s="49"/>
      <c r="K966" s="49"/>
      <c r="L966" s="49"/>
      <c r="M966" s="49"/>
      <c r="N966" s="49"/>
      <c r="O966" s="49"/>
    </row>
    <row r="967" spans="3:15" ht="19.5" customHeight="1">
      <c r="C967" s="66"/>
      <c r="D967" s="64"/>
      <c r="E967" s="61"/>
      <c r="F967" s="62"/>
      <c r="G967" s="61"/>
      <c r="H967" s="68"/>
      <c r="I967" s="49"/>
      <c r="J967" s="49"/>
      <c r="K967" s="49"/>
      <c r="L967" s="49"/>
      <c r="M967" s="49"/>
      <c r="N967" s="49"/>
      <c r="O967" s="49"/>
    </row>
    <row r="968" spans="3:15" ht="19.5" customHeight="1">
      <c r="C968" s="66"/>
      <c r="D968" s="64"/>
      <c r="E968" s="61"/>
      <c r="F968" s="62"/>
      <c r="G968" s="61"/>
      <c r="H968" s="68"/>
      <c r="I968" s="49"/>
      <c r="J968" s="49"/>
      <c r="K968" s="49"/>
      <c r="L968" s="49"/>
      <c r="M968" s="49"/>
      <c r="N968" s="49"/>
      <c r="O968" s="49"/>
    </row>
    <row r="969" spans="3:15" ht="19.5" customHeight="1">
      <c r="C969" s="66"/>
      <c r="D969" s="64"/>
      <c r="E969" s="61"/>
      <c r="F969" s="62"/>
      <c r="G969" s="61"/>
      <c r="H969" s="68"/>
      <c r="I969" s="49"/>
      <c r="J969" s="49"/>
      <c r="K969" s="49"/>
      <c r="L969" s="49"/>
      <c r="M969" s="49"/>
      <c r="N969" s="49"/>
      <c r="O969" s="49"/>
    </row>
    <row r="970" spans="3:15" ht="19.5" customHeight="1">
      <c r="C970" s="66"/>
      <c r="D970" s="64"/>
      <c r="E970" s="61"/>
      <c r="F970" s="62"/>
      <c r="G970" s="61"/>
      <c r="H970" s="68"/>
      <c r="I970" s="49"/>
      <c r="J970" s="49"/>
      <c r="K970" s="49"/>
      <c r="L970" s="49"/>
      <c r="M970" s="49"/>
      <c r="N970" s="49"/>
      <c r="O970" s="49"/>
    </row>
    <row r="971" spans="3:15" ht="19.5" customHeight="1">
      <c r="C971" s="66"/>
      <c r="D971" s="64"/>
      <c r="E971" s="61"/>
      <c r="F971" s="62"/>
      <c r="G971" s="61"/>
      <c r="H971" s="68"/>
      <c r="I971" s="49"/>
      <c r="J971" s="49"/>
      <c r="K971" s="49"/>
      <c r="L971" s="49"/>
      <c r="M971" s="49"/>
      <c r="N971" s="49"/>
      <c r="O971" s="49"/>
    </row>
    <row r="972" spans="3:15" ht="19.5" customHeight="1">
      <c r="C972" s="66"/>
      <c r="D972" s="64"/>
      <c r="E972" s="61"/>
      <c r="F972" s="62"/>
      <c r="G972" s="61"/>
      <c r="H972" s="68"/>
      <c r="I972" s="49"/>
      <c r="J972" s="49"/>
      <c r="K972" s="49"/>
      <c r="L972" s="49"/>
      <c r="M972" s="49"/>
      <c r="N972" s="49"/>
      <c r="O972" s="49"/>
    </row>
    <row r="973" spans="3:15" ht="19.5" customHeight="1">
      <c r="C973" s="66"/>
      <c r="D973" s="64"/>
      <c r="E973" s="61"/>
      <c r="F973" s="62"/>
      <c r="G973" s="61"/>
      <c r="H973" s="68"/>
      <c r="I973" s="49"/>
      <c r="J973" s="49"/>
      <c r="K973" s="49"/>
      <c r="L973" s="49"/>
      <c r="M973" s="49"/>
      <c r="N973" s="49"/>
      <c r="O973" s="49"/>
    </row>
    <row r="974" spans="3:15" ht="19.5" customHeight="1">
      <c r="C974" s="66"/>
      <c r="D974" s="64"/>
      <c r="E974" s="61"/>
      <c r="F974" s="62"/>
      <c r="G974" s="61"/>
      <c r="H974" s="68"/>
      <c r="I974" s="49"/>
      <c r="J974" s="49"/>
      <c r="K974" s="49"/>
      <c r="L974" s="49"/>
      <c r="M974" s="49"/>
      <c r="N974" s="49"/>
      <c r="O974" s="49"/>
    </row>
    <row r="975" spans="3:15" ht="19.5" customHeight="1">
      <c r="C975" s="66"/>
      <c r="D975" s="64"/>
      <c r="E975" s="61"/>
      <c r="F975" s="62"/>
      <c r="G975" s="61"/>
      <c r="H975" s="68"/>
      <c r="I975" s="49"/>
      <c r="J975" s="49"/>
      <c r="K975" s="49"/>
      <c r="L975" s="49"/>
      <c r="M975" s="49"/>
      <c r="N975" s="49"/>
      <c r="O975" s="49"/>
    </row>
    <row r="976" spans="3:15" ht="19.5" customHeight="1">
      <c r="C976" s="66"/>
      <c r="D976" s="64"/>
      <c r="E976" s="61"/>
      <c r="F976" s="62"/>
      <c r="G976" s="61"/>
      <c r="H976" s="68"/>
      <c r="I976" s="49"/>
      <c r="J976" s="49"/>
      <c r="K976" s="49"/>
      <c r="L976" s="49"/>
      <c r="M976" s="49"/>
      <c r="N976" s="49"/>
      <c r="O976" s="49"/>
    </row>
    <row r="977" spans="3:15" ht="19.5" customHeight="1">
      <c r="C977" s="66"/>
      <c r="D977" s="64"/>
      <c r="E977" s="61"/>
      <c r="F977" s="62"/>
      <c r="G977" s="61"/>
      <c r="H977" s="68"/>
      <c r="I977" s="49"/>
      <c r="J977" s="49"/>
      <c r="K977" s="49"/>
      <c r="L977" s="49"/>
      <c r="M977" s="49"/>
      <c r="N977" s="49"/>
      <c r="O977" s="49"/>
    </row>
    <row r="978" spans="3:15" ht="19.5" customHeight="1">
      <c r="C978" s="66"/>
      <c r="D978" s="64"/>
      <c r="E978" s="61"/>
      <c r="F978" s="62"/>
      <c r="G978" s="61"/>
      <c r="H978" s="68"/>
      <c r="I978" s="49"/>
      <c r="J978" s="49"/>
      <c r="K978" s="49"/>
      <c r="L978" s="49"/>
      <c r="M978" s="49"/>
      <c r="N978" s="49"/>
      <c r="O978" s="49"/>
    </row>
    <row r="979" spans="3:15" ht="19.5" customHeight="1">
      <c r="C979" s="66"/>
      <c r="D979" s="64"/>
      <c r="E979" s="61"/>
      <c r="F979" s="62"/>
      <c r="G979" s="61"/>
      <c r="H979" s="68"/>
      <c r="I979" s="49"/>
      <c r="J979" s="49"/>
      <c r="K979" s="49"/>
      <c r="L979" s="49"/>
      <c r="M979" s="49"/>
      <c r="N979" s="49"/>
      <c r="O979" s="49"/>
    </row>
    <row r="980" spans="3:15" ht="19.5" customHeight="1">
      <c r="C980" s="66"/>
      <c r="D980" s="64"/>
      <c r="E980" s="61"/>
      <c r="F980" s="62"/>
      <c r="G980" s="61"/>
      <c r="H980" s="68"/>
      <c r="I980" s="49"/>
      <c r="J980" s="49"/>
      <c r="K980" s="49"/>
      <c r="L980" s="49"/>
      <c r="M980" s="49"/>
      <c r="N980" s="49"/>
      <c r="O980" s="49"/>
    </row>
    <row r="981" spans="3:15" ht="19.5" customHeight="1">
      <c r="C981" s="66"/>
      <c r="D981" s="64"/>
      <c r="E981" s="61"/>
      <c r="F981" s="62"/>
      <c r="G981" s="61"/>
      <c r="H981" s="68"/>
      <c r="I981" s="49"/>
      <c r="J981" s="49"/>
      <c r="K981" s="49"/>
      <c r="L981" s="49"/>
      <c r="M981" s="49"/>
      <c r="N981" s="49"/>
      <c r="O981" s="49"/>
    </row>
    <row r="982" spans="3:15" ht="19.5" customHeight="1">
      <c r="C982" s="66"/>
      <c r="D982" s="64"/>
      <c r="E982" s="61"/>
      <c r="F982" s="62"/>
      <c r="G982" s="61"/>
      <c r="H982" s="68"/>
      <c r="I982" s="49"/>
      <c r="J982" s="49"/>
      <c r="K982" s="49"/>
      <c r="L982" s="49"/>
      <c r="M982" s="49"/>
      <c r="N982" s="49"/>
      <c r="O982" s="49"/>
    </row>
    <row r="983" spans="3:15" ht="19.5" customHeight="1">
      <c r="C983" s="66"/>
      <c r="D983" s="64"/>
      <c r="E983" s="61"/>
      <c r="F983" s="62"/>
      <c r="G983" s="61"/>
      <c r="H983" s="68"/>
      <c r="I983" s="49"/>
      <c r="J983" s="49"/>
      <c r="K983" s="49"/>
      <c r="L983" s="49"/>
      <c r="M983" s="49"/>
      <c r="N983" s="49"/>
      <c r="O983" s="49"/>
    </row>
    <row r="984" spans="3:15" ht="19.5" customHeight="1">
      <c r="C984" s="66"/>
      <c r="D984" s="64"/>
      <c r="E984" s="61"/>
      <c r="F984" s="62"/>
      <c r="G984" s="61"/>
      <c r="H984" s="68"/>
      <c r="I984" s="49"/>
      <c r="J984" s="49"/>
      <c r="K984" s="49"/>
      <c r="L984" s="49"/>
      <c r="M984" s="49"/>
      <c r="N984" s="49"/>
      <c r="O984" s="49"/>
    </row>
    <row r="985" spans="3:15" ht="19.5" customHeight="1">
      <c r="C985" s="66"/>
      <c r="D985" s="64"/>
      <c r="E985" s="61"/>
      <c r="F985" s="62"/>
      <c r="G985" s="61"/>
      <c r="H985" s="68"/>
      <c r="I985" s="49"/>
      <c r="J985" s="49"/>
      <c r="K985" s="49"/>
      <c r="L985" s="49"/>
      <c r="M985" s="49"/>
      <c r="N985" s="49"/>
      <c r="O985" s="49"/>
    </row>
    <row r="986" spans="3:15" ht="19.5" customHeight="1">
      <c r="C986" s="66"/>
      <c r="D986" s="64"/>
      <c r="E986" s="61"/>
      <c r="F986" s="62"/>
      <c r="G986" s="61"/>
      <c r="H986" s="68"/>
      <c r="I986" s="49"/>
      <c r="J986" s="49"/>
      <c r="K986" s="49"/>
      <c r="L986" s="49"/>
      <c r="M986" s="49"/>
      <c r="N986" s="49"/>
      <c r="O986" s="49"/>
    </row>
    <row r="987" spans="3:15" ht="19.5" customHeight="1">
      <c r="C987" s="66"/>
      <c r="D987" s="64"/>
      <c r="E987" s="61"/>
      <c r="F987" s="62"/>
      <c r="G987" s="61"/>
      <c r="H987" s="68"/>
      <c r="I987" s="49"/>
      <c r="J987" s="49"/>
      <c r="K987" s="49"/>
      <c r="L987" s="49"/>
      <c r="M987" s="49"/>
      <c r="N987" s="49"/>
      <c r="O987" s="49"/>
    </row>
    <row r="988" spans="3:15" ht="19.5" customHeight="1">
      <c r="C988" s="66"/>
      <c r="D988" s="64"/>
      <c r="E988" s="61"/>
      <c r="F988" s="62"/>
      <c r="G988" s="61"/>
      <c r="H988" s="68"/>
      <c r="I988" s="49"/>
      <c r="J988" s="49"/>
      <c r="K988" s="49"/>
      <c r="L988" s="49"/>
      <c r="M988" s="49"/>
      <c r="N988" s="49"/>
      <c r="O988" s="49"/>
    </row>
    <row r="989" spans="3:15" ht="19.5" customHeight="1">
      <c r="C989" s="66"/>
      <c r="D989" s="64"/>
      <c r="E989" s="61"/>
      <c r="F989" s="62"/>
      <c r="G989" s="61"/>
      <c r="H989" s="68"/>
      <c r="I989" s="49"/>
      <c r="J989" s="49"/>
      <c r="K989" s="49"/>
      <c r="L989" s="49"/>
      <c r="M989" s="49"/>
      <c r="N989" s="49"/>
      <c r="O989" s="49"/>
    </row>
    <row r="990" spans="3:15" ht="19.5" customHeight="1">
      <c r="C990" s="66"/>
      <c r="D990" s="64"/>
      <c r="E990" s="61"/>
      <c r="F990" s="62"/>
      <c r="G990" s="61"/>
      <c r="H990" s="68"/>
      <c r="I990" s="49"/>
      <c r="J990" s="49"/>
      <c r="K990" s="49"/>
      <c r="L990" s="49"/>
      <c r="M990" s="49"/>
      <c r="N990" s="49"/>
      <c r="O990" s="49"/>
    </row>
    <row r="991" spans="3:15" ht="19.5" customHeight="1">
      <c r="C991" s="66"/>
      <c r="D991" s="64"/>
      <c r="E991" s="61"/>
      <c r="F991" s="62"/>
      <c r="G991" s="61"/>
      <c r="H991" s="68"/>
      <c r="I991" s="49"/>
      <c r="J991" s="49"/>
      <c r="K991" s="49"/>
      <c r="L991" s="49"/>
      <c r="M991" s="49"/>
      <c r="N991" s="49"/>
      <c r="O991" s="49"/>
    </row>
    <row r="992" spans="3:15" ht="19.5" customHeight="1">
      <c r="C992" s="66"/>
      <c r="D992" s="64"/>
      <c r="E992" s="61"/>
      <c r="F992" s="62"/>
      <c r="G992" s="61"/>
      <c r="H992" s="68"/>
      <c r="I992" s="49"/>
      <c r="J992" s="49"/>
      <c r="K992" s="49"/>
      <c r="L992" s="49"/>
      <c r="M992" s="49"/>
      <c r="N992" s="49"/>
      <c r="O992" s="49"/>
    </row>
    <row r="993" spans="3:15" ht="19.5" customHeight="1">
      <c r="C993" s="66"/>
      <c r="D993" s="64"/>
      <c r="E993" s="61"/>
      <c r="F993" s="62"/>
      <c r="G993" s="61"/>
      <c r="H993" s="68"/>
      <c r="I993" s="49"/>
      <c r="J993" s="49"/>
      <c r="K993" s="49"/>
      <c r="L993" s="49"/>
      <c r="M993" s="49"/>
      <c r="N993" s="49"/>
      <c r="O993" s="49"/>
    </row>
    <row r="994" spans="3:15" ht="19.5" customHeight="1">
      <c r="C994" s="66"/>
      <c r="D994" s="64"/>
      <c r="E994" s="61"/>
      <c r="F994" s="62"/>
      <c r="G994" s="61"/>
      <c r="H994" s="68"/>
      <c r="I994" s="49"/>
      <c r="J994" s="49"/>
      <c r="K994" s="49"/>
      <c r="L994" s="49"/>
      <c r="M994" s="49"/>
      <c r="N994" s="49"/>
      <c r="O994" s="49"/>
    </row>
    <row r="995" spans="3:15" ht="19.5" customHeight="1">
      <c r="C995" s="66"/>
      <c r="D995" s="64"/>
      <c r="E995" s="61"/>
      <c r="F995" s="62"/>
      <c r="G995" s="61"/>
      <c r="H995" s="68"/>
      <c r="I995" s="49"/>
      <c r="J995" s="49"/>
      <c r="K995" s="49"/>
      <c r="L995" s="49"/>
      <c r="M995" s="49"/>
      <c r="N995" s="49"/>
      <c r="O995" s="49"/>
    </row>
    <row r="996" spans="3:15" ht="19.5" customHeight="1">
      <c r="C996" s="66"/>
      <c r="D996" s="64"/>
      <c r="E996" s="61"/>
      <c r="F996" s="62"/>
      <c r="G996" s="61"/>
      <c r="H996" s="68"/>
      <c r="I996" s="49"/>
      <c r="J996" s="49"/>
      <c r="K996" s="49"/>
      <c r="L996" s="49"/>
      <c r="M996" s="49"/>
      <c r="N996" s="49"/>
      <c r="O996" s="49"/>
    </row>
    <row r="997" spans="3:15" ht="19.5" customHeight="1">
      <c r="C997" s="66"/>
      <c r="D997" s="64"/>
      <c r="E997" s="61"/>
      <c r="F997" s="62"/>
      <c r="G997" s="61"/>
      <c r="H997" s="68"/>
      <c r="I997" s="49"/>
      <c r="J997" s="49"/>
      <c r="K997" s="49"/>
      <c r="L997" s="49"/>
      <c r="M997" s="49"/>
      <c r="N997" s="49"/>
      <c r="O997" s="49"/>
    </row>
    <row r="998" spans="3:15" ht="19.5" customHeight="1">
      <c r="C998" s="66"/>
      <c r="D998" s="64"/>
      <c r="E998" s="61"/>
      <c r="F998" s="62"/>
      <c r="G998" s="61"/>
      <c r="H998" s="68"/>
      <c r="I998" s="49"/>
      <c r="J998" s="49"/>
      <c r="K998" s="49"/>
      <c r="L998" s="49"/>
      <c r="M998" s="49"/>
      <c r="N998" s="49"/>
      <c r="O998" s="49"/>
    </row>
    <row r="999" spans="3:15" ht="19.5" customHeight="1">
      <c r="C999" s="66"/>
      <c r="D999" s="64"/>
      <c r="E999" s="61"/>
      <c r="F999" s="62"/>
      <c r="G999" s="61"/>
      <c r="H999" s="68"/>
      <c r="I999" s="49"/>
      <c r="J999" s="49"/>
      <c r="K999" s="49"/>
      <c r="L999" s="49"/>
      <c r="M999" s="49"/>
      <c r="N999" s="49"/>
      <c r="O999" s="49"/>
    </row>
    <row r="1000" spans="3:15" ht="19.5" customHeight="1">
      <c r="C1000" s="66"/>
      <c r="D1000" s="64"/>
      <c r="E1000" s="61"/>
      <c r="F1000" s="62"/>
      <c r="G1000" s="61"/>
      <c r="H1000" s="68"/>
      <c r="I1000" s="49"/>
      <c r="J1000" s="49"/>
      <c r="K1000" s="49"/>
      <c r="L1000" s="49"/>
      <c r="M1000" s="49"/>
      <c r="N1000" s="49"/>
      <c r="O1000" s="49"/>
    </row>
    <row r="1001" spans="3:15" ht="19.5" customHeight="1">
      <c r="C1001" s="66"/>
      <c r="D1001" s="64"/>
      <c r="E1001" s="61"/>
      <c r="F1001" s="62"/>
      <c r="G1001" s="61"/>
      <c r="H1001" s="68"/>
      <c r="I1001" s="49"/>
      <c r="J1001" s="49"/>
      <c r="K1001" s="49"/>
      <c r="L1001" s="49"/>
      <c r="M1001" s="49"/>
      <c r="N1001" s="49"/>
      <c r="O1001" s="49"/>
    </row>
    <row r="1002" spans="3:15" ht="19.5" customHeight="1">
      <c r="C1002" s="66"/>
      <c r="D1002" s="64"/>
      <c r="E1002" s="61"/>
      <c r="F1002" s="62"/>
      <c r="G1002" s="61"/>
      <c r="H1002" s="68"/>
      <c r="I1002" s="49"/>
      <c r="J1002" s="49"/>
      <c r="K1002" s="49"/>
      <c r="L1002" s="49"/>
      <c r="M1002" s="49"/>
      <c r="N1002" s="49"/>
      <c r="O1002" s="49"/>
    </row>
    <row r="1003" spans="3:15" ht="19.5" customHeight="1">
      <c r="C1003" s="66"/>
      <c r="D1003" s="64"/>
      <c r="E1003" s="61"/>
      <c r="F1003" s="62"/>
      <c r="G1003" s="61"/>
      <c r="H1003" s="68"/>
      <c r="I1003" s="49"/>
      <c r="J1003" s="49"/>
      <c r="K1003" s="49"/>
      <c r="L1003" s="49"/>
      <c r="M1003" s="49"/>
      <c r="N1003" s="49"/>
      <c r="O1003" s="49"/>
    </row>
    <row r="1004" spans="3:15" ht="19.5" customHeight="1">
      <c r="C1004" s="66"/>
      <c r="D1004" s="64"/>
      <c r="E1004" s="61"/>
      <c r="F1004" s="62"/>
      <c r="G1004" s="61"/>
      <c r="H1004" s="68"/>
      <c r="I1004" s="49"/>
      <c r="J1004" s="49"/>
      <c r="K1004" s="49"/>
      <c r="L1004" s="49"/>
      <c r="M1004" s="49"/>
      <c r="N1004" s="49"/>
      <c r="O1004" s="49"/>
    </row>
    <row r="1005" spans="3:15" ht="19.5" customHeight="1">
      <c r="C1005" s="66"/>
      <c r="D1005" s="64"/>
      <c r="E1005" s="61"/>
      <c r="F1005" s="62"/>
      <c r="G1005" s="61"/>
      <c r="H1005" s="68"/>
      <c r="I1005" s="49"/>
      <c r="J1005" s="49"/>
      <c r="K1005" s="49"/>
      <c r="L1005" s="49"/>
      <c r="M1005" s="49"/>
      <c r="N1005" s="49"/>
      <c r="O1005" s="49"/>
    </row>
    <row r="1006" spans="3:15" ht="19.5" customHeight="1">
      <c r="C1006" s="66"/>
      <c r="D1006" s="64"/>
      <c r="E1006" s="61"/>
      <c r="F1006" s="62"/>
      <c r="G1006" s="61"/>
      <c r="H1006" s="68"/>
      <c r="I1006" s="49"/>
      <c r="J1006" s="49"/>
      <c r="K1006" s="49"/>
      <c r="L1006" s="49"/>
      <c r="M1006" s="49"/>
      <c r="N1006" s="49"/>
      <c r="O1006" s="49"/>
    </row>
    <row r="1007" spans="3:15" ht="19.5" customHeight="1">
      <c r="C1007" s="66"/>
      <c r="D1007" s="64"/>
      <c r="E1007" s="61"/>
      <c r="F1007" s="62"/>
      <c r="G1007" s="61"/>
      <c r="H1007" s="68"/>
      <c r="I1007" s="49"/>
      <c r="J1007" s="49"/>
      <c r="K1007" s="49"/>
      <c r="L1007" s="49"/>
      <c r="M1007" s="49"/>
      <c r="N1007" s="49"/>
      <c r="O1007" s="49"/>
    </row>
    <row r="1008" spans="3:15" ht="19.5" customHeight="1">
      <c r="C1008" s="66"/>
      <c r="D1008" s="64"/>
      <c r="E1008" s="61"/>
      <c r="F1008" s="62"/>
      <c r="G1008" s="61"/>
      <c r="H1008" s="68"/>
      <c r="I1008" s="49"/>
      <c r="J1008" s="49"/>
      <c r="K1008" s="49"/>
      <c r="L1008" s="49"/>
      <c r="M1008" s="49"/>
      <c r="N1008" s="49"/>
      <c r="O1008" s="49"/>
    </row>
    <row r="1009" spans="3:15" ht="19.5" customHeight="1">
      <c r="C1009" s="66"/>
      <c r="D1009" s="64"/>
      <c r="E1009" s="61"/>
      <c r="F1009" s="62"/>
      <c r="G1009" s="61"/>
      <c r="H1009" s="68"/>
      <c r="I1009" s="49"/>
      <c r="J1009" s="49"/>
      <c r="K1009" s="49"/>
      <c r="L1009" s="49"/>
      <c r="M1009" s="49"/>
      <c r="N1009" s="49"/>
      <c r="O1009" s="49"/>
    </row>
    <row r="1010" spans="3:15" ht="19.5" customHeight="1">
      <c r="C1010" s="66"/>
      <c r="D1010" s="64"/>
      <c r="E1010" s="61"/>
      <c r="F1010" s="62"/>
      <c r="G1010" s="61"/>
      <c r="H1010" s="68"/>
      <c r="I1010" s="49"/>
      <c r="J1010" s="49"/>
      <c r="K1010" s="49"/>
      <c r="L1010" s="49"/>
      <c r="M1010" s="49"/>
      <c r="N1010" s="49"/>
      <c r="O1010" s="49"/>
    </row>
    <row r="1011" spans="3:15" ht="19.5" customHeight="1">
      <c r="C1011" s="66"/>
      <c r="D1011" s="64"/>
      <c r="E1011" s="61"/>
      <c r="F1011" s="62"/>
      <c r="G1011" s="61"/>
      <c r="H1011" s="68"/>
      <c r="I1011" s="49"/>
      <c r="J1011" s="49"/>
      <c r="K1011" s="49"/>
      <c r="L1011" s="49"/>
      <c r="M1011" s="49"/>
      <c r="N1011" s="49"/>
      <c r="O1011" s="49"/>
    </row>
    <row r="1012" spans="3:15" ht="19.5" customHeight="1">
      <c r="C1012" s="66"/>
      <c r="D1012" s="64"/>
      <c r="E1012" s="61"/>
      <c r="F1012" s="62"/>
      <c r="G1012" s="61"/>
      <c r="H1012" s="68"/>
      <c r="I1012" s="49"/>
      <c r="J1012" s="49"/>
      <c r="K1012" s="49"/>
      <c r="L1012" s="49"/>
      <c r="M1012" s="49"/>
      <c r="N1012" s="49"/>
      <c r="O1012" s="49"/>
    </row>
    <row r="1013" spans="3:15" ht="19.5" customHeight="1">
      <c r="C1013" s="66"/>
      <c r="D1013" s="64"/>
      <c r="E1013" s="61"/>
      <c r="F1013" s="62"/>
      <c r="G1013" s="61"/>
      <c r="H1013" s="68"/>
      <c r="I1013" s="49"/>
      <c r="J1013" s="49"/>
      <c r="K1013" s="49"/>
      <c r="L1013" s="49"/>
      <c r="M1013" s="49"/>
      <c r="N1013" s="49"/>
      <c r="O1013" s="49"/>
    </row>
    <row r="1014" spans="3:15" ht="19.5" customHeight="1">
      <c r="C1014" s="66"/>
      <c r="D1014" s="64"/>
      <c r="E1014" s="61"/>
      <c r="F1014" s="62"/>
      <c r="G1014" s="61"/>
      <c r="H1014" s="68"/>
      <c r="I1014" s="49"/>
      <c r="J1014" s="49"/>
      <c r="K1014" s="49"/>
      <c r="L1014" s="49"/>
      <c r="M1014" s="49"/>
      <c r="N1014" s="49"/>
      <c r="O1014" s="49"/>
    </row>
    <row r="1015" spans="3:15" ht="19.5" customHeight="1">
      <c r="C1015" s="66"/>
      <c r="D1015" s="64"/>
      <c r="E1015" s="61"/>
      <c r="F1015" s="62"/>
      <c r="G1015" s="61"/>
      <c r="H1015" s="68"/>
      <c r="I1015" s="49"/>
      <c r="J1015" s="49"/>
      <c r="K1015" s="49"/>
      <c r="L1015" s="49"/>
      <c r="M1015" s="49"/>
      <c r="N1015" s="49"/>
      <c r="O1015" s="49"/>
    </row>
    <row r="1016" spans="3:15" ht="19.5" customHeight="1">
      <c r="C1016" s="66"/>
      <c r="D1016" s="64"/>
      <c r="E1016" s="61"/>
      <c r="F1016" s="62"/>
      <c r="G1016" s="61"/>
      <c r="H1016" s="68"/>
      <c r="I1016" s="49"/>
      <c r="J1016" s="49"/>
      <c r="K1016" s="49"/>
      <c r="L1016" s="49"/>
      <c r="M1016" s="49"/>
      <c r="N1016" s="49"/>
      <c r="O1016" s="49"/>
    </row>
    <row r="1017" spans="3:15" ht="19.5" customHeight="1">
      <c r="C1017" s="66"/>
      <c r="D1017" s="64"/>
      <c r="E1017" s="61"/>
      <c r="F1017" s="62"/>
      <c r="G1017" s="61"/>
      <c r="H1017" s="68"/>
      <c r="I1017" s="49"/>
      <c r="J1017" s="49"/>
      <c r="K1017" s="49"/>
      <c r="L1017" s="49"/>
      <c r="M1017" s="49"/>
      <c r="N1017" s="49"/>
      <c r="O1017" s="49"/>
    </row>
    <row r="1018" spans="3:15" ht="19.5" customHeight="1">
      <c r="C1018" s="66"/>
      <c r="D1018" s="64"/>
      <c r="E1018" s="61"/>
      <c r="F1018" s="62"/>
      <c r="G1018" s="61"/>
      <c r="H1018" s="68"/>
      <c r="I1018" s="49"/>
      <c r="J1018" s="49"/>
      <c r="K1018" s="49"/>
      <c r="L1018" s="49"/>
      <c r="M1018" s="49"/>
      <c r="N1018" s="49"/>
      <c r="O1018" s="49"/>
    </row>
    <row r="1019" spans="3:15" ht="19.5" customHeight="1">
      <c r="C1019" s="66"/>
      <c r="D1019" s="64"/>
      <c r="E1019" s="61"/>
      <c r="F1019" s="62"/>
      <c r="G1019" s="61"/>
      <c r="H1019" s="68"/>
      <c r="I1019" s="49"/>
      <c r="J1019" s="49"/>
      <c r="K1019" s="49"/>
      <c r="L1019" s="49"/>
      <c r="M1019" s="49"/>
      <c r="N1019" s="49"/>
      <c r="O1019" s="49"/>
    </row>
    <row r="1020" spans="3:15" ht="19.5" customHeight="1">
      <c r="C1020" s="66"/>
      <c r="D1020" s="64"/>
      <c r="E1020" s="61"/>
      <c r="F1020" s="62"/>
      <c r="G1020" s="61"/>
      <c r="H1020" s="68"/>
      <c r="I1020" s="49"/>
      <c r="J1020" s="49"/>
      <c r="K1020" s="49"/>
      <c r="L1020" s="49"/>
      <c r="M1020" s="49"/>
      <c r="N1020" s="49"/>
      <c r="O1020" s="49"/>
    </row>
    <row r="1021" spans="3:15" ht="19.5" customHeight="1">
      <c r="C1021" s="66"/>
      <c r="D1021" s="64"/>
      <c r="E1021" s="61"/>
      <c r="F1021" s="62"/>
      <c r="G1021" s="61"/>
      <c r="H1021" s="68"/>
      <c r="I1021" s="49"/>
      <c r="J1021" s="49"/>
      <c r="K1021" s="49"/>
      <c r="L1021" s="49"/>
      <c r="M1021" s="49"/>
      <c r="N1021" s="49"/>
      <c r="O1021" s="49"/>
    </row>
    <row r="1022" spans="3:15" ht="19.5" customHeight="1">
      <c r="C1022" s="66"/>
      <c r="D1022" s="64"/>
      <c r="E1022" s="61"/>
      <c r="F1022" s="62"/>
      <c r="G1022" s="61"/>
      <c r="H1022" s="68"/>
      <c r="I1022" s="49"/>
      <c r="J1022" s="49"/>
      <c r="K1022" s="49"/>
      <c r="L1022" s="49"/>
      <c r="M1022" s="49"/>
      <c r="N1022" s="49"/>
      <c r="O1022" s="49"/>
    </row>
    <row r="1023" spans="3:15" ht="19.5" customHeight="1">
      <c r="C1023" s="66"/>
      <c r="D1023" s="64"/>
      <c r="E1023" s="61"/>
      <c r="F1023" s="62"/>
      <c r="G1023" s="61"/>
      <c r="H1023" s="68"/>
      <c r="I1023" s="49"/>
      <c r="J1023" s="49"/>
      <c r="K1023" s="49"/>
      <c r="L1023" s="49"/>
      <c r="M1023" s="49"/>
      <c r="N1023" s="49"/>
      <c r="O1023" s="49"/>
    </row>
    <row r="1024" spans="3:15" ht="19.5" customHeight="1">
      <c r="C1024" s="66"/>
      <c r="D1024" s="64"/>
      <c r="E1024" s="61"/>
      <c r="F1024" s="62"/>
      <c r="G1024" s="61"/>
      <c r="H1024" s="68"/>
      <c r="I1024" s="49"/>
      <c r="J1024" s="49"/>
      <c r="K1024" s="49"/>
      <c r="L1024" s="49"/>
      <c r="M1024" s="49"/>
      <c r="N1024" s="49"/>
      <c r="O1024" s="49"/>
    </row>
    <row r="1025" spans="3:15" ht="19.5" customHeight="1">
      <c r="C1025" s="66"/>
      <c r="D1025" s="64"/>
      <c r="E1025" s="61"/>
      <c r="F1025" s="62"/>
      <c r="G1025" s="61"/>
      <c r="H1025" s="68"/>
      <c r="I1025" s="49"/>
      <c r="J1025" s="49"/>
      <c r="K1025" s="49"/>
      <c r="L1025" s="49"/>
      <c r="M1025" s="49"/>
      <c r="N1025" s="49"/>
      <c r="O1025" s="49"/>
    </row>
    <row r="1026" spans="3:15" ht="19.5" customHeight="1">
      <c r="C1026" s="66"/>
      <c r="D1026" s="64"/>
      <c r="E1026" s="61"/>
      <c r="F1026" s="62"/>
      <c r="G1026" s="61"/>
      <c r="H1026" s="68"/>
      <c r="I1026" s="49"/>
      <c r="J1026" s="49"/>
      <c r="K1026" s="49"/>
      <c r="L1026" s="49"/>
      <c r="M1026" s="49"/>
      <c r="N1026" s="49"/>
      <c r="O1026" s="49"/>
    </row>
    <row r="1027" spans="3:15" ht="19.5" customHeight="1">
      <c r="C1027" s="66"/>
      <c r="D1027" s="64"/>
      <c r="E1027" s="61"/>
      <c r="F1027" s="62"/>
      <c r="G1027" s="61"/>
      <c r="H1027" s="68"/>
      <c r="I1027" s="49"/>
      <c r="J1027" s="49"/>
      <c r="K1027" s="49"/>
      <c r="L1027" s="49"/>
      <c r="M1027" s="49"/>
      <c r="N1027" s="49"/>
      <c r="O1027" s="49"/>
    </row>
    <row r="1028" spans="3:15" ht="19.5" customHeight="1">
      <c r="C1028" s="66"/>
      <c r="D1028" s="64"/>
      <c r="E1028" s="61"/>
      <c r="F1028" s="62"/>
      <c r="G1028" s="61"/>
      <c r="H1028" s="68"/>
      <c r="I1028" s="49"/>
      <c r="J1028" s="49"/>
      <c r="K1028" s="49"/>
      <c r="L1028" s="49"/>
      <c r="M1028" s="49"/>
      <c r="N1028" s="49"/>
      <c r="O1028" s="49"/>
    </row>
    <row r="1029" spans="3:15" ht="19.5" customHeight="1">
      <c r="C1029" s="66"/>
      <c r="D1029" s="64"/>
      <c r="E1029" s="61"/>
      <c r="F1029" s="62"/>
      <c r="G1029" s="61"/>
      <c r="H1029" s="68"/>
      <c r="I1029" s="49"/>
      <c r="J1029" s="49"/>
      <c r="K1029" s="49"/>
      <c r="L1029" s="49"/>
      <c r="M1029" s="49"/>
      <c r="N1029" s="49"/>
      <c r="O1029" s="49"/>
    </row>
    <row r="1030" spans="3:15" ht="19.5" customHeight="1">
      <c r="C1030" s="66"/>
      <c r="D1030" s="64"/>
      <c r="E1030" s="61"/>
      <c r="F1030" s="62"/>
      <c r="G1030" s="61"/>
      <c r="H1030" s="68"/>
      <c r="I1030" s="49"/>
      <c r="J1030" s="49"/>
      <c r="K1030" s="49"/>
      <c r="L1030" s="49"/>
      <c r="M1030" s="49"/>
      <c r="N1030" s="49"/>
      <c r="O1030" s="49"/>
    </row>
    <row r="1031" spans="3:15" ht="19.5" customHeight="1">
      <c r="C1031" s="66"/>
      <c r="D1031" s="64"/>
      <c r="E1031" s="61"/>
      <c r="F1031" s="62"/>
      <c r="G1031" s="61"/>
      <c r="H1031" s="68"/>
      <c r="I1031" s="49"/>
      <c r="J1031" s="49"/>
      <c r="K1031" s="49"/>
      <c r="L1031" s="49"/>
      <c r="M1031" s="49"/>
      <c r="N1031" s="49"/>
      <c r="O1031" s="49"/>
    </row>
    <row r="1032" spans="3:15" ht="19.5" customHeight="1">
      <c r="C1032" s="66"/>
      <c r="D1032" s="64"/>
      <c r="E1032" s="61"/>
      <c r="F1032" s="62"/>
      <c r="G1032" s="61"/>
      <c r="H1032" s="68"/>
      <c r="I1032" s="49"/>
      <c r="J1032" s="49"/>
      <c r="K1032" s="49"/>
      <c r="L1032" s="49"/>
      <c r="M1032" s="49"/>
      <c r="N1032" s="49"/>
      <c r="O1032" s="49"/>
    </row>
    <row r="1033" spans="3:15" ht="19.5" customHeight="1">
      <c r="C1033" s="66"/>
      <c r="D1033" s="64"/>
      <c r="E1033" s="61"/>
      <c r="F1033" s="62"/>
      <c r="G1033" s="61"/>
      <c r="H1033" s="68"/>
      <c r="I1033" s="49"/>
      <c r="J1033" s="49"/>
      <c r="K1033" s="49"/>
      <c r="L1033" s="49"/>
      <c r="M1033" s="49"/>
      <c r="N1033" s="49"/>
      <c r="O1033" s="49"/>
    </row>
    <row r="1034" spans="3:15" ht="19.5" customHeight="1">
      <c r="C1034" s="66"/>
      <c r="D1034" s="64"/>
      <c r="E1034" s="61"/>
      <c r="F1034" s="62"/>
      <c r="G1034" s="61"/>
      <c r="H1034" s="68"/>
      <c r="I1034" s="49"/>
      <c r="J1034" s="49"/>
      <c r="K1034" s="49"/>
      <c r="L1034" s="49"/>
      <c r="M1034" s="49"/>
      <c r="N1034" s="49"/>
      <c r="O1034" s="49"/>
    </row>
    <row r="1035" spans="3:15" ht="19.5" customHeight="1">
      <c r="C1035" s="66"/>
      <c r="D1035" s="64"/>
      <c r="E1035" s="61"/>
      <c r="F1035" s="62"/>
      <c r="G1035" s="61"/>
      <c r="H1035" s="68"/>
      <c r="I1035" s="49"/>
      <c r="J1035" s="49"/>
      <c r="K1035" s="49"/>
      <c r="L1035" s="49"/>
      <c r="M1035" s="49"/>
      <c r="N1035" s="49"/>
      <c r="O1035" s="49"/>
    </row>
    <row r="1036" spans="3:15" ht="19.5" customHeight="1">
      <c r="C1036" s="66"/>
      <c r="D1036" s="64"/>
      <c r="E1036" s="61"/>
      <c r="F1036" s="62"/>
      <c r="G1036" s="61"/>
      <c r="H1036" s="68"/>
      <c r="I1036" s="49"/>
      <c r="J1036" s="49"/>
      <c r="K1036" s="49"/>
      <c r="L1036" s="49"/>
      <c r="M1036" s="49"/>
      <c r="N1036" s="49"/>
      <c r="O1036" s="49"/>
    </row>
    <row r="1037" spans="3:15" ht="19.5" customHeight="1">
      <c r="C1037" s="66"/>
      <c r="D1037" s="64"/>
      <c r="E1037" s="61"/>
      <c r="F1037" s="62"/>
      <c r="G1037" s="61"/>
      <c r="H1037" s="68"/>
      <c r="I1037" s="49"/>
      <c r="J1037" s="49"/>
      <c r="K1037" s="49"/>
      <c r="L1037" s="49"/>
      <c r="M1037" s="49"/>
      <c r="N1037" s="49"/>
      <c r="O1037" s="49"/>
    </row>
    <row r="1038" spans="3:15" ht="19.5" customHeight="1">
      <c r="C1038" s="66"/>
      <c r="D1038" s="64"/>
      <c r="E1038" s="61"/>
      <c r="F1038" s="62"/>
      <c r="G1038" s="61"/>
      <c r="H1038" s="68"/>
      <c r="I1038" s="49"/>
      <c r="J1038" s="49"/>
      <c r="K1038" s="49"/>
      <c r="L1038" s="49"/>
      <c r="M1038" s="49"/>
      <c r="N1038" s="49"/>
      <c r="O1038" s="49"/>
    </row>
    <row r="1039" spans="3:15" ht="19.5" customHeight="1">
      <c r="C1039" s="66"/>
      <c r="D1039" s="64"/>
      <c r="E1039" s="61"/>
      <c r="F1039" s="62"/>
      <c r="G1039" s="61"/>
      <c r="H1039" s="68"/>
      <c r="I1039" s="49"/>
      <c r="J1039" s="49"/>
      <c r="K1039" s="49"/>
      <c r="L1039" s="49"/>
      <c r="M1039" s="49"/>
      <c r="N1039" s="49"/>
      <c r="O1039" s="49"/>
    </row>
    <row r="1040" spans="3:15" ht="19.5" customHeight="1">
      <c r="C1040" s="66"/>
      <c r="D1040" s="64"/>
      <c r="E1040" s="61"/>
      <c r="F1040" s="62"/>
      <c r="G1040" s="61"/>
      <c r="H1040" s="68"/>
      <c r="I1040" s="49"/>
      <c r="J1040" s="49"/>
      <c r="K1040" s="49"/>
      <c r="L1040" s="49"/>
      <c r="M1040" s="49"/>
      <c r="N1040" s="49"/>
      <c r="O1040" s="49"/>
    </row>
    <row r="1041" spans="3:15" ht="19.5" customHeight="1">
      <c r="C1041" s="66"/>
      <c r="D1041" s="64"/>
      <c r="E1041" s="61"/>
      <c r="F1041" s="62"/>
      <c r="G1041" s="61"/>
      <c r="H1041" s="68"/>
      <c r="I1041" s="49"/>
      <c r="J1041" s="49"/>
      <c r="K1041" s="49"/>
      <c r="L1041" s="49"/>
      <c r="M1041" s="49"/>
      <c r="N1041" s="49"/>
      <c r="O1041" s="49"/>
    </row>
    <row r="1042" spans="3:15" ht="19.5" customHeight="1">
      <c r="C1042" s="66"/>
      <c r="D1042" s="64"/>
      <c r="E1042" s="61"/>
      <c r="F1042" s="62"/>
      <c r="G1042" s="61"/>
      <c r="H1042" s="68"/>
      <c r="I1042" s="49"/>
      <c r="J1042" s="49"/>
      <c r="K1042" s="49"/>
      <c r="L1042" s="49"/>
      <c r="M1042" s="49"/>
      <c r="N1042" s="49"/>
      <c r="O1042" s="49"/>
    </row>
    <row r="1043" spans="3:15" ht="19.5" customHeight="1">
      <c r="C1043" s="66"/>
      <c r="D1043" s="64"/>
      <c r="E1043" s="61"/>
      <c r="F1043" s="62"/>
      <c r="G1043" s="61"/>
      <c r="H1043" s="68"/>
      <c r="I1043" s="49"/>
      <c r="J1043" s="49"/>
      <c r="K1043" s="49"/>
      <c r="L1043" s="49"/>
      <c r="M1043" s="49"/>
      <c r="N1043" s="49"/>
      <c r="O1043" s="49"/>
    </row>
    <row r="1044" spans="3:15" ht="19.5" customHeight="1">
      <c r="C1044" s="66"/>
      <c r="D1044" s="64"/>
      <c r="E1044" s="61"/>
      <c r="F1044" s="62"/>
      <c r="G1044" s="61"/>
      <c r="H1044" s="68"/>
      <c r="I1044" s="49"/>
      <c r="J1044" s="49"/>
      <c r="K1044" s="49"/>
      <c r="L1044" s="49"/>
      <c r="M1044" s="49"/>
      <c r="N1044" s="49"/>
      <c r="O1044" s="49"/>
    </row>
    <row r="1045" spans="3:15" ht="19.5" customHeight="1">
      <c r="C1045" s="66"/>
      <c r="D1045" s="64"/>
      <c r="E1045" s="61"/>
      <c r="F1045" s="62"/>
      <c r="G1045" s="61"/>
      <c r="H1045" s="68"/>
      <c r="I1045" s="49"/>
      <c r="J1045" s="49"/>
      <c r="K1045" s="49"/>
      <c r="L1045" s="49"/>
      <c r="M1045" s="49"/>
      <c r="N1045" s="49"/>
      <c r="O1045" s="49"/>
    </row>
    <row r="1046" spans="3:15" ht="19.5" customHeight="1">
      <c r="C1046" s="66"/>
      <c r="D1046" s="64"/>
      <c r="E1046" s="61"/>
      <c r="F1046" s="62"/>
      <c r="G1046" s="61"/>
      <c r="H1046" s="68"/>
      <c r="I1046" s="49"/>
      <c r="J1046" s="49"/>
      <c r="K1046" s="49"/>
      <c r="L1046" s="49"/>
      <c r="M1046" s="49"/>
      <c r="N1046" s="49"/>
      <c r="O1046" s="49"/>
    </row>
    <row r="1047" spans="3:15" ht="19.5" customHeight="1">
      <c r="C1047" s="66"/>
      <c r="D1047" s="64"/>
      <c r="E1047" s="61"/>
      <c r="F1047" s="62"/>
      <c r="G1047" s="61"/>
      <c r="H1047" s="68"/>
      <c r="I1047" s="49"/>
      <c r="J1047" s="49"/>
      <c r="K1047" s="49"/>
      <c r="L1047" s="49"/>
      <c r="M1047" s="49"/>
      <c r="N1047" s="49"/>
      <c r="O1047" s="49"/>
    </row>
    <row r="1048" spans="3:15" ht="19.5" customHeight="1">
      <c r="C1048" s="66"/>
      <c r="D1048" s="64"/>
      <c r="E1048" s="61"/>
      <c r="F1048" s="62"/>
      <c r="G1048" s="61"/>
      <c r="H1048" s="68"/>
      <c r="I1048" s="49"/>
      <c r="J1048" s="49"/>
      <c r="K1048" s="49"/>
      <c r="L1048" s="49"/>
      <c r="M1048" s="49"/>
      <c r="N1048" s="49"/>
      <c r="O1048" s="49"/>
    </row>
    <row r="1049" spans="3:15" ht="19.5" customHeight="1">
      <c r="C1049" s="66"/>
      <c r="D1049" s="64"/>
      <c r="E1049" s="61"/>
      <c r="F1049" s="62"/>
      <c r="G1049" s="61"/>
      <c r="H1049" s="68"/>
      <c r="I1049" s="49"/>
      <c r="J1049" s="49"/>
      <c r="K1049" s="49"/>
      <c r="L1049" s="49"/>
      <c r="M1049" s="49"/>
      <c r="N1049" s="49"/>
      <c r="O1049" s="49"/>
    </row>
    <row r="1050" spans="3:15" ht="19.5" customHeight="1">
      <c r="C1050" s="66"/>
      <c r="D1050" s="64"/>
      <c r="E1050" s="61"/>
      <c r="F1050" s="62"/>
      <c r="G1050" s="61"/>
      <c r="H1050" s="68"/>
      <c r="I1050" s="49"/>
      <c r="J1050" s="49"/>
      <c r="K1050" s="49"/>
      <c r="L1050" s="49"/>
      <c r="M1050" s="49"/>
      <c r="N1050" s="49"/>
      <c r="O1050" s="49"/>
    </row>
    <row r="1051" spans="3:15" ht="19.5" customHeight="1">
      <c r="C1051" s="66"/>
      <c r="D1051" s="64"/>
      <c r="E1051" s="61"/>
      <c r="F1051" s="62"/>
      <c r="G1051" s="61"/>
      <c r="H1051" s="68"/>
      <c r="I1051" s="49"/>
      <c r="J1051" s="49"/>
      <c r="K1051" s="49"/>
      <c r="L1051" s="49"/>
      <c r="M1051" s="49"/>
      <c r="N1051" s="49"/>
      <c r="O1051" s="49"/>
    </row>
    <row r="1052" spans="3:15" ht="19.5" customHeight="1">
      <c r="C1052" s="66"/>
      <c r="D1052" s="64"/>
      <c r="E1052" s="61"/>
      <c r="F1052" s="62"/>
      <c r="G1052" s="61"/>
      <c r="H1052" s="68"/>
      <c r="I1052" s="49"/>
      <c r="J1052" s="49"/>
      <c r="K1052" s="49"/>
      <c r="L1052" s="49"/>
      <c r="M1052" s="49"/>
      <c r="N1052" s="49"/>
      <c r="O1052" s="49"/>
    </row>
    <row r="1053" spans="3:15" ht="19.5" customHeight="1">
      <c r="C1053" s="66"/>
      <c r="D1053" s="64"/>
      <c r="E1053" s="61"/>
      <c r="F1053" s="62"/>
      <c r="G1053" s="61"/>
      <c r="H1053" s="68"/>
      <c r="I1053" s="49"/>
      <c r="J1053" s="49"/>
      <c r="K1053" s="49"/>
      <c r="L1053" s="49"/>
      <c r="M1053" s="49"/>
      <c r="N1053" s="49"/>
      <c r="O1053" s="49"/>
    </row>
    <row r="1054" spans="3:15" ht="19.5" customHeight="1">
      <c r="C1054" s="66"/>
      <c r="D1054" s="64"/>
      <c r="E1054" s="61"/>
      <c r="F1054" s="62"/>
      <c r="G1054" s="61"/>
      <c r="H1054" s="68"/>
      <c r="I1054" s="49"/>
      <c r="J1054" s="49"/>
      <c r="K1054" s="49"/>
      <c r="L1054" s="49"/>
      <c r="M1054" s="49"/>
      <c r="N1054" s="49"/>
      <c r="O1054" s="49"/>
    </row>
    <row r="1055" spans="3:15" ht="19.5" customHeight="1">
      <c r="C1055" s="66"/>
      <c r="D1055" s="64"/>
      <c r="E1055" s="61"/>
      <c r="F1055" s="62"/>
      <c r="G1055" s="61"/>
      <c r="H1055" s="68"/>
      <c r="I1055" s="49"/>
      <c r="J1055" s="49"/>
      <c r="K1055" s="49"/>
      <c r="L1055" s="49"/>
      <c r="M1055" s="49"/>
      <c r="N1055" s="49"/>
      <c r="O1055" s="49"/>
    </row>
    <row r="1056" spans="3:15" ht="19.5" customHeight="1">
      <c r="C1056" s="66"/>
      <c r="D1056" s="64"/>
      <c r="E1056" s="61"/>
      <c r="F1056" s="62"/>
      <c r="G1056" s="61"/>
      <c r="H1056" s="68"/>
      <c r="I1056" s="49"/>
      <c r="J1056" s="49"/>
      <c r="K1056" s="49"/>
      <c r="L1056" s="49"/>
      <c r="M1056" s="49"/>
      <c r="N1056" s="49"/>
      <c r="O1056" s="49"/>
    </row>
    <row r="1057" spans="3:15" ht="19.5" customHeight="1">
      <c r="C1057" s="66"/>
      <c r="D1057" s="64"/>
      <c r="E1057" s="61"/>
      <c r="F1057" s="62"/>
      <c r="G1057" s="61"/>
      <c r="H1057" s="68"/>
      <c r="I1057" s="49"/>
      <c r="J1057" s="49"/>
      <c r="K1057" s="49"/>
      <c r="L1057" s="49"/>
      <c r="M1057" s="49"/>
      <c r="N1057" s="49"/>
      <c r="O1057" s="49"/>
    </row>
    <row r="1058" spans="3:15" ht="19.5" customHeight="1">
      <c r="C1058" s="66"/>
      <c r="D1058" s="64"/>
      <c r="E1058" s="61"/>
      <c r="F1058" s="62"/>
      <c r="G1058" s="61"/>
      <c r="H1058" s="68"/>
      <c r="I1058" s="49"/>
      <c r="J1058" s="49"/>
      <c r="K1058" s="49"/>
      <c r="L1058" s="49"/>
      <c r="M1058" s="49"/>
      <c r="N1058" s="49"/>
      <c r="O1058" s="49"/>
    </row>
    <row r="1059" spans="3:15" ht="19.5" customHeight="1">
      <c r="C1059" s="66"/>
      <c r="D1059" s="64"/>
      <c r="E1059" s="61"/>
      <c r="F1059" s="62"/>
      <c r="G1059" s="61"/>
      <c r="H1059" s="68"/>
      <c r="I1059" s="49"/>
      <c r="J1059" s="49"/>
      <c r="K1059" s="49"/>
      <c r="L1059" s="49"/>
      <c r="M1059" s="49"/>
      <c r="N1059" s="49"/>
      <c r="O1059" s="49"/>
    </row>
    <row r="1060" spans="3:15" ht="19.5" customHeight="1">
      <c r="C1060" s="66"/>
      <c r="D1060" s="64"/>
      <c r="E1060" s="61"/>
      <c r="F1060" s="62"/>
      <c r="G1060" s="61"/>
      <c r="H1060" s="68"/>
      <c r="I1060" s="49"/>
      <c r="J1060" s="49"/>
      <c r="K1060" s="49"/>
      <c r="L1060" s="49"/>
      <c r="M1060" s="49"/>
      <c r="N1060" s="49"/>
      <c r="O1060" s="49"/>
    </row>
    <row r="1061" spans="3:15" ht="19.5" customHeight="1">
      <c r="C1061" s="66"/>
      <c r="D1061" s="64"/>
      <c r="E1061" s="61"/>
      <c r="F1061" s="62"/>
      <c r="G1061" s="61"/>
      <c r="H1061" s="68"/>
      <c r="I1061" s="49"/>
      <c r="J1061" s="49"/>
      <c r="K1061" s="49"/>
      <c r="L1061" s="49"/>
      <c r="M1061" s="49"/>
      <c r="N1061" s="49"/>
      <c r="O1061" s="49"/>
    </row>
    <row r="1062" spans="3:15" ht="19.5" customHeight="1">
      <c r="C1062" s="66"/>
      <c r="D1062" s="64"/>
      <c r="E1062" s="61"/>
      <c r="F1062" s="62"/>
      <c r="G1062" s="61"/>
      <c r="H1062" s="68"/>
      <c r="I1062" s="49"/>
      <c r="J1062" s="49"/>
      <c r="K1062" s="49"/>
      <c r="L1062" s="49"/>
      <c r="M1062" s="49"/>
      <c r="N1062" s="49"/>
      <c r="O1062" s="49"/>
    </row>
    <row r="1063" spans="3:15" ht="19.5" customHeight="1">
      <c r="C1063" s="66"/>
      <c r="D1063" s="64"/>
      <c r="E1063" s="61"/>
      <c r="F1063" s="62"/>
      <c r="G1063" s="61"/>
      <c r="H1063" s="68"/>
      <c r="I1063" s="49"/>
      <c r="J1063" s="49"/>
      <c r="K1063" s="49"/>
      <c r="L1063" s="49"/>
      <c r="M1063" s="49"/>
      <c r="N1063" s="49"/>
      <c r="O1063" s="49"/>
    </row>
    <row r="1064" spans="3:15" ht="19.5" customHeight="1">
      <c r="C1064" s="66"/>
      <c r="D1064" s="64"/>
      <c r="E1064" s="61"/>
      <c r="F1064" s="62"/>
      <c r="G1064" s="61"/>
      <c r="H1064" s="68"/>
      <c r="I1064" s="49"/>
      <c r="J1064" s="49"/>
      <c r="K1064" s="49"/>
      <c r="L1064" s="49"/>
      <c r="M1064" s="49"/>
      <c r="N1064" s="49"/>
      <c r="O1064" s="49"/>
    </row>
    <row r="1065" spans="3:15" ht="19.5" customHeight="1">
      <c r="C1065" s="66"/>
      <c r="D1065" s="64"/>
      <c r="E1065" s="61"/>
      <c r="F1065" s="62"/>
      <c r="G1065" s="61"/>
      <c r="H1065" s="68"/>
      <c r="I1065" s="49"/>
      <c r="J1065" s="49"/>
      <c r="K1065" s="49"/>
      <c r="L1065" s="49"/>
      <c r="M1065" s="49"/>
      <c r="N1065" s="49"/>
      <c r="O1065" s="49"/>
    </row>
    <row r="1066" spans="3:15" ht="19.5" customHeight="1">
      <c r="C1066" s="66"/>
      <c r="D1066" s="64"/>
      <c r="E1066" s="61"/>
      <c r="F1066" s="62"/>
      <c r="G1066" s="61"/>
      <c r="H1066" s="68"/>
      <c r="I1066" s="49"/>
      <c r="J1066" s="49"/>
      <c r="K1066" s="49"/>
      <c r="L1066" s="49"/>
      <c r="M1066" s="49"/>
      <c r="N1066" s="49"/>
      <c r="O1066" s="49"/>
    </row>
    <row r="1067" spans="3:15" ht="19.5" customHeight="1">
      <c r="C1067" s="66"/>
      <c r="D1067" s="64"/>
      <c r="E1067" s="61"/>
      <c r="F1067" s="62"/>
      <c r="G1067" s="61"/>
      <c r="H1067" s="68"/>
      <c r="I1067" s="49"/>
      <c r="J1067" s="49"/>
      <c r="K1067" s="49"/>
      <c r="L1067" s="49"/>
      <c r="M1067" s="49"/>
      <c r="N1067" s="49"/>
      <c r="O1067" s="49"/>
    </row>
    <row r="1068" spans="3:15" ht="19.5" customHeight="1">
      <c r="C1068" s="66"/>
      <c r="D1068" s="64"/>
      <c r="E1068" s="61"/>
      <c r="F1068" s="62"/>
      <c r="G1068" s="61"/>
      <c r="H1068" s="68"/>
      <c r="I1068" s="49"/>
      <c r="J1068" s="49"/>
      <c r="K1068" s="49"/>
      <c r="L1068" s="49"/>
      <c r="M1068" s="49"/>
      <c r="N1068" s="49"/>
      <c r="O1068" s="49"/>
    </row>
    <row r="1069" spans="3:15" ht="19.5" customHeight="1">
      <c r="C1069" s="66"/>
      <c r="D1069" s="64"/>
      <c r="E1069" s="61"/>
      <c r="F1069" s="62"/>
      <c r="G1069" s="61"/>
      <c r="H1069" s="68"/>
      <c r="I1069" s="49"/>
      <c r="J1069" s="49"/>
      <c r="K1069" s="49"/>
      <c r="L1069" s="49"/>
      <c r="M1069" s="49"/>
      <c r="N1069" s="49"/>
      <c r="O1069" s="49"/>
    </row>
    <row r="1070" spans="3:15" ht="19.5" customHeight="1">
      <c r="C1070" s="66"/>
      <c r="D1070" s="64"/>
      <c r="E1070" s="61"/>
      <c r="F1070" s="62"/>
      <c r="G1070" s="61"/>
      <c r="H1070" s="68"/>
      <c r="I1070" s="49"/>
      <c r="J1070" s="49"/>
      <c r="K1070" s="49"/>
      <c r="L1070" s="49"/>
      <c r="M1070" s="49"/>
      <c r="N1070" s="49"/>
      <c r="O1070" s="49"/>
    </row>
    <row r="1071" spans="3:15" ht="19.5" customHeight="1">
      <c r="C1071" s="66"/>
      <c r="D1071" s="64"/>
      <c r="E1071" s="61"/>
      <c r="F1071" s="62"/>
      <c r="G1071" s="61"/>
      <c r="H1071" s="68"/>
      <c r="I1071" s="49"/>
      <c r="J1071" s="49"/>
      <c r="K1071" s="49"/>
      <c r="L1071" s="49"/>
      <c r="M1071" s="49"/>
      <c r="N1071" s="49"/>
      <c r="O1071" s="49"/>
    </row>
    <row r="1072" spans="3:15" ht="19.5" customHeight="1">
      <c r="C1072" s="66"/>
      <c r="D1072" s="64"/>
      <c r="E1072" s="61"/>
      <c r="F1072" s="62"/>
      <c r="G1072" s="61"/>
      <c r="H1072" s="68"/>
      <c r="I1072" s="49"/>
      <c r="J1072" s="49"/>
      <c r="K1072" s="49"/>
      <c r="L1072" s="49"/>
      <c r="M1072" s="49"/>
      <c r="N1072" s="49"/>
      <c r="O1072" s="49"/>
    </row>
    <row r="1073" spans="3:15" ht="19.5" customHeight="1">
      <c r="C1073" s="66"/>
      <c r="D1073" s="64"/>
      <c r="E1073" s="61"/>
      <c r="F1073" s="62"/>
      <c r="G1073" s="61"/>
      <c r="H1073" s="68"/>
      <c r="I1073" s="49"/>
      <c r="J1073" s="49"/>
      <c r="K1073" s="49"/>
      <c r="L1073" s="49"/>
      <c r="M1073" s="49"/>
      <c r="N1073" s="49"/>
      <c r="O1073" s="49"/>
    </row>
    <row r="1074" spans="3:15" ht="19.5" customHeight="1">
      <c r="C1074" s="66"/>
      <c r="D1074" s="64"/>
      <c r="E1074" s="61"/>
      <c r="F1074" s="62"/>
      <c r="G1074" s="61"/>
      <c r="H1074" s="68"/>
      <c r="I1074" s="49"/>
      <c r="J1074" s="49"/>
      <c r="K1074" s="49"/>
      <c r="L1074" s="49"/>
      <c r="M1074" s="49"/>
      <c r="N1074" s="49"/>
      <c r="O1074" s="49"/>
    </row>
    <row r="1075" spans="3:15" ht="19.5" customHeight="1">
      <c r="C1075" s="66"/>
      <c r="D1075" s="64"/>
      <c r="E1075" s="61"/>
      <c r="F1075" s="62"/>
      <c r="G1075" s="61"/>
      <c r="H1075" s="68"/>
      <c r="I1075" s="49"/>
      <c r="J1075" s="49"/>
      <c r="K1075" s="49"/>
      <c r="L1075" s="49"/>
      <c r="M1075" s="49"/>
      <c r="N1075" s="49"/>
      <c r="O1075" s="49"/>
    </row>
    <row r="1076" spans="3:15" ht="19.5" customHeight="1">
      <c r="C1076" s="66"/>
      <c r="D1076" s="64"/>
      <c r="E1076" s="61"/>
      <c r="F1076" s="62"/>
      <c r="G1076" s="61"/>
      <c r="H1076" s="68"/>
      <c r="I1076" s="49"/>
      <c r="J1076" s="49"/>
      <c r="K1076" s="49"/>
      <c r="L1076" s="49"/>
      <c r="M1076" s="49"/>
      <c r="N1076" s="49"/>
      <c r="O1076" s="49"/>
    </row>
    <row r="1077" spans="3:15" ht="19.5" customHeight="1">
      <c r="C1077" s="66"/>
      <c r="D1077" s="64"/>
      <c r="E1077" s="61"/>
      <c r="F1077" s="62"/>
      <c r="G1077" s="61"/>
      <c r="H1077" s="68"/>
      <c r="I1077" s="49"/>
      <c r="J1077" s="49"/>
      <c r="K1077" s="49"/>
      <c r="L1077" s="49"/>
      <c r="M1077" s="49"/>
      <c r="N1077" s="49"/>
      <c r="O1077" s="49"/>
    </row>
    <row r="1078" spans="3:15" ht="19.5" customHeight="1">
      <c r="C1078" s="66"/>
      <c r="D1078" s="64"/>
      <c r="E1078" s="61"/>
      <c r="F1078" s="62"/>
      <c r="G1078" s="61"/>
      <c r="H1078" s="68"/>
      <c r="I1078" s="49"/>
      <c r="J1078" s="49"/>
      <c r="K1078" s="49"/>
      <c r="L1078" s="49"/>
      <c r="M1078" s="49"/>
      <c r="N1078" s="49"/>
      <c r="O1078" s="49"/>
    </row>
    <row r="1079" spans="3:15" ht="19.5" customHeight="1">
      <c r="C1079" s="66"/>
      <c r="D1079" s="64"/>
      <c r="E1079" s="61"/>
      <c r="F1079" s="62"/>
      <c r="G1079" s="61"/>
      <c r="H1079" s="68"/>
      <c r="I1079" s="49"/>
      <c r="J1079" s="49"/>
      <c r="K1079" s="49"/>
      <c r="L1079" s="49"/>
      <c r="M1079" s="49"/>
      <c r="N1079" s="49"/>
      <c r="O1079" s="49"/>
    </row>
    <row r="1080" spans="3:15" ht="19.5" customHeight="1">
      <c r="C1080" s="66"/>
      <c r="D1080" s="64"/>
      <c r="E1080" s="61"/>
      <c r="F1080" s="62"/>
      <c r="G1080" s="61"/>
      <c r="H1080" s="68"/>
      <c r="I1080" s="49"/>
      <c r="J1080" s="49"/>
      <c r="K1080" s="49"/>
      <c r="L1080" s="49"/>
      <c r="M1080" s="49"/>
      <c r="N1080" s="49"/>
      <c r="O1080" s="49"/>
    </row>
    <row r="1081" spans="3:15" ht="19.5" customHeight="1">
      <c r="C1081" s="66"/>
      <c r="D1081" s="64"/>
      <c r="E1081" s="61"/>
      <c r="F1081" s="62"/>
      <c r="G1081" s="61"/>
      <c r="H1081" s="68"/>
      <c r="I1081" s="49"/>
      <c r="J1081" s="49"/>
      <c r="K1081" s="49"/>
      <c r="L1081" s="49"/>
      <c r="M1081" s="49"/>
      <c r="N1081" s="49"/>
      <c r="O1081" s="49"/>
    </row>
    <row r="1082" spans="3:15" ht="19.5" customHeight="1">
      <c r="C1082" s="66"/>
      <c r="D1082" s="64"/>
      <c r="E1082" s="61"/>
      <c r="F1082" s="62"/>
      <c r="G1082" s="61"/>
      <c r="H1082" s="68"/>
      <c r="I1082" s="49"/>
      <c r="J1082" s="49"/>
      <c r="K1082" s="49"/>
      <c r="L1082" s="49"/>
      <c r="M1082" s="49"/>
      <c r="N1082" s="49"/>
      <c r="O1082" s="49"/>
    </row>
    <row r="1083" spans="3:15" ht="19.5" customHeight="1">
      <c r="C1083" s="66"/>
      <c r="D1083" s="64"/>
      <c r="E1083" s="61"/>
      <c r="F1083" s="62"/>
      <c r="G1083" s="61"/>
      <c r="H1083" s="68"/>
      <c r="I1083" s="49"/>
      <c r="J1083" s="49"/>
      <c r="K1083" s="49"/>
      <c r="L1083" s="49"/>
      <c r="M1083" s="49"/>
      <c r="N1083" s="49"/>
      <c r="O1083" s="49"/>
    </row>
    <row r="1084" spans="3:15" ht="19.5" customHeight="1">
      <c r="C1084" s="66"/>
      <c r="D1084" s="64"/>
      <c r="E1084" s="61"/>
      <c r="F1084" s="62"/>
      <c r="G1084" s="61"/>
      <c r="H1084" s="68"/>
      <c r="I1084" s="49"/>
      <c r="J1084" s="49"/>
      <c r="K1084" s="49"/>
      <c r="L1084" s="49"/>
      <c r="M1084" s="49"/>
      <c r="N1084" s="49"/>
      <c r="O1084" s="49"/>
    </row>
    <row r="1085" spans="3:15" ht="19.5" customHeight="1">
      <c r="C1085" s="66"/>
      <c r="D1085" s="64"/>
      <c r="E1085" s="61"/>
      <c r="F1085" s="62"/>
      <c r="G1085" s="61"/>
      <c r="H1085" s="68"/>
      <c r="I1085" s="49"/>
      <c r="J1085" s="49"/>
      <c r="K1085" s="49"/>
      <c r="L1085" s="49"/>
      <c r="M1085" s="49"/>
      <c r="N1085" s="49"/>
      <c r="O1085" s="49"/>
    </row>
    <row r="1086" spans="3:15" ht="19.5" customHeight="1">
      <c r="C1086" s="66"/>
      <c r="D1086" s="64"/>
      <c r="E1086" s="61"/>
      <c r="F1086" s="62"/>
      <c r="G1086" s="61"/>
      <c r="H1086" s="68"/>
      <c r="I1086" s="49"/>
      <c r="J1086" s="49"/>
      <c r="K1086" s="49"/>
      <c r="L1086" s="49"/>
      <c r="M1086" s="49"/>
      <c r="N1086" s="49"/>
      <c r="O1086" s="49"/>
    </row>
    <row r="1087" spans="3:15" ht="19.5" customHeight="1">
      <c r="C1087" s="66"/>
      <c r="D1087" s="64"/>
      <c r="E1087" s="61"/>
      <c r="F1087" s="62"/>
      <c r="G1087" s="61"/>
      <c r="H1087" s="68"/>
      <c r="I1087" s="49"/>
      <c r="J1087" s="49"/>
      <c r="K1087" s="49"/>
      <c r="L1087" s="49"/>
      <c r="M1087" s="49"/>
      <c r="N1087" s="49"/>
      <c r="O1087" s="49"/>
    </row>
    <row r="1088" spans="3:15" ht="19.5" customHeight="1">
      <c r="C1088" s="66"/>
      <c r="D1088" s="64"/>
      <c r="E1088" s="61"/>
      <c r="F1088" s="62"/>
      <c r="G1088" s="61"/>
      <c r="H1088" s="68"/>
      <c r="I1088" s="49"/>
      <c r="J1088" s="49"/>
      <c r="K1088" s="49"/>
      <c r="L1088" s="49"/>
      <c r="M1088" s="49"/>
      <c r="N1088" s="49"/>
      <c r="O1088" s="49"/>
    </row>
    <row r="1089" spans="3:15" ht="19.5" customHeight="1">
      <c r="C1089" s="66"/>
      <c r="D1089" s="64"/>
      <c r="E1089" s="61"/>
      <c r="F1089" s="62"/>
      <c r="G1089" s="61"/>
      <c r="H1089" s="68"/>
      <c r="I1089" s="49"/>
      <c r="J1089" s="49"/>
      <c r="K1089" s="49"/>
      <c r="L1089" s="49"/>
      <c r="M1089" s="49"/>
      <c r="N1089" s="49"/>
      <c r="O1089" s="49"/>
    </row>
    <row r="1090" spans="3:15" ht="19.5" customHeight="1">
      <c r="C1090" s="66"/>
      <c r="D1090" s="64"/>
      <c r="E1090" s="61"/>
      <c r="F1090" s="62"/>
      <c r="G1090" s="61"/>
      <c r="H1090" s="68"/>
      <c r="I1090" s="49"/>
      <c r="J1090" s="49"/>
      <c r="K1090" s="49"/>
      <c r="L1090" s="49"/>
      <c r="M1090" s="49"/>
      <c r="N1090" s="49"/>
      <c r="O1090" s="49"/>
    </row>
    <row r="1091" spans="3:15" ht="19.5" customHeight="1">
      <c r="C1091" s="66"/>
      <c r="D1091" s="64"/>
      <c r="E1091" s="61"/>
      <c r="F1091" s="62"/>
      <c r="G1091" s="61"/>
      <c r="H1091" s="68"/>
      <c r="I1091" s="49"/>
      <c r="J1091" s="49"/>
      <c r="K1091" s="49"/>
      <c r="L1091" s="49"/>
      <c r="M1091" s="49"/>
      <c r="N1091" s="49"/>
      <c r="O1091" s="49"/>
    </row>
    <row r="1092" spans="3:15" ht="19.5" customHeight="1">
      <c r="C1092" s="66"/>
      <c r="D1092" s="64"/>
      <c r="E1092" s="61"/>
      <c r="F1092" s="62"/>
      <c r="G1092" s="61"/>
      <c r="H1092" s="68"/>
      <c r="I1092" s="49"/>
      <c r="J1092" s="49"/>
      <c r="K1092" s="49"/>
      <c r="L1092" s="49"/>
      <c r="M1092" s="49"/>
      <c r="N1092" s="49"/>
      <c r="O1092" s="49"/>
    </row>
    <row r="1093" spans="3:15" ht="19.5" customHeight="1">
      <c r="C1093" s="66"/>
      <c r="D1093" s="64"/>
      <c r="E1093" s="61"/>
      <c r="F1093" s="62"/>
      <c r="G1093" s="61"/>
      <c r="H1093" s="68"/>
      <c r="I1093" s="49"/>
      <c r="J1093" s="49"/>
      <c r="K1093" s="49"/>
      <c r="L1093" s="49"/>
      <c r="M1093" s="49"/>
      <c r="N1093" s="49"/>
      <c r="O1093" s="49"/>
    </row>
    <row r="1094" spans="3:15" ht="19.5" customHeight="1">
      <c r="C1094" s="66"/>
      <c r="D1094" s="64"/>
      <c r="E1094" s="61"/>
      <c r="F1094" s="62"/>
      <c r="G1094" s="61"/>
      <c r="H1094" s="68"/>
      <c r="I1094" s="49"/>
      <c r="J1094" s="49"/>
      <c r="K1094" s="49"/>
      <c r="L1094" s="49"/>
      <c r="M1094" s="49"/>
      <c r="N1094" s="49"/>
      <c r="O1094" s="49"/>
    </row>
    <row r="1095" spans="3:15" ht="19.5" customHeight="1">
      <c r="C1095" s="66"/>
      <c r="D1095" s="64"/>
      <c r="E1095" s="61"/>
      <c r="F1095" s="62"/>
      <c r="G1095" s="61"/>
      <c r="H1095" s="68"/>
      <c r="I1095" s="49"/>
      <c r="J1095" s="49"/>
      <c r="K1095" s="49"/>
      <c r="L1095" s="49"/>
      <c r="M1095" s="49"/>
      <c r="N1095" s="49"/>
      <c r="O1095" s="49"/>
    </row>
    <row r="1096" spans="3:15" ht="19.5" customHeight="1">
      <c r="C1096" s="66"/>
      <c r="D1096" s="64"/>
      <c r="E1096" s="61"/>
      <c r="F1096" s="62"/>
      <c r="G1096" s="61"/>
      <c r="H1096" s="68"/>
      <c r="I1096" s="49"/>
      <c r="J1096" s="49"/>
      <c r="K1096" s="49"/>
      <c r="L1096" s="49"/>
      <c r="M1096" s="49"/>
      <c r="N1096" s="49"/>
      <c r="O1096" s="49"/>
    </row>
    <row r="1097" spans="3:15" ht="19.5" customHeight="1">
      <c r="C1097" s="66"/>
      <c r="D1097" s="64"/>
      <c r="E1097" s="61"/>
      <c r="F1097" s="62"/>
      <c r="G1097" s="61"/>
      <c r="H1097" s="68"/>
      <c r="I1097" s="49"/>
      <c r="J1097" s="49"/>
      <c r="K1097" s="49"/>
      <c r="L1097" s="49"/>
      <c r="M1097" s="49"/>
      <c r="N1097" s="49"/>
      <c r="O1097" s="49"/>
    </row>
    <row r="1098" spans="3:15" ht="19.5" customHeight="1">
      <c r="C1098" s="66"/>
      <c r="D1098" s="64"/>
      <c r="E1098" s="61"/>
      <c r="F1098" s="62"/>
      <c r="G1098" s="61"/>
      <c r="H1098" s="68"/>
      <c r="I1098" s="49"/>
      <c r="J1098" s="49"/>
      <c r="K1098" s="49"/>
      <c r="L1098" s="49"/>
      <c r="M1098" s="49"/>
      <c r="N1098" s="49"/>
      <c r="O1098" s="49"/>
    </row>
    <row r="1099" spans="3:15" ht="19.5" customHeight="1">
      <c r="C1099" s="66"/>
      <c r="D1099" s="64"/>
      <c r="E1099" s="61"/>
      <c r="F1099" s="62"/>
      <c r="G1099" s="61"/>
      <c r="H1099" s="68"/>
      <c r="I1099" s="49"/>
      <c r="J1099" s="49"/>
      <c r="K1099" s="49"/>
      <c r="L1099" s="49"/>
      <c r="M1099" s="49"/>
      <c r="N1099" s="49"/>
      <c r="O1099" s="49"/>
    </row>
    <row r="1100" spans="3:15" ht="19.5" customHeight="1">
      <c r="C1100" s="66"/>
      <c r="D1100" s="64"/>
      <c r="E1100" s="61"/>
      <c r="F1100" s="62"/>
      <c r="G1100" s="61"/>
      <c r="H1100" s="68"/>
      <c r="I1100" s="49"/>
      <c r="J1100" s="49"/>
      <c r="K1100" s="49"/>
      <c r="L1100" s="49"/>
      <c r="M1100" s="49"/>
      <c r="N1100" s="49"/>
      <c r="O1100" s="49"/>
    </row>
    <row r="1101" spans="3:15" ht="19.5" customHeight="1">
      <c r="C1101" s="66"/>
      <c r="D1101" s="64"/>
      <c r="E1101" s="61"/>
      <c r="F1101" s="62"/>
      <c r="G1101" s="61"/>
      <c r="H1101" s="68"/>
      <c r="I1101" s="49"/>
      <c r="J1101" s="49"/>
      <c r="K1101" s="49"/>
      <c r="L1101" s="49"/>
      <c r="M1101" s="49"/>
      <c r="N1101" s="49"/>
      <c r="O1101" s="49"/>
    </row>
    <row r="1102" spans="3:15" ht="19.5" customHeight="1">
      <c r="C1102" s="66"/>
      <c r="D1102" s="64"/>
      <c r="E1102" s="61"/>
      <c r="F1102" s="62"/>
      <c r="G1102" s="61"/>
      <c r="H1102" s="68"/>
      <c r="I1102" s="49"/>
      <c r="J1102" s="49"/>
      <c r="K1102" s="49"/>
      <c r="L1102" s="49"/>
      <c r="M1102" s="49"/>
      <c r="N1102" s="49"/>
      <c r="O1102" s="49"/>
    </row>
    <row r="1103" spans="3:15" ht="19.5" customHeight="1">
      <c r="C1103" s="66"/>
      <c r="D1103" s="64"/>
      <c r="E1103" s="61"/>
      <c r="F1103" s="62"/>
      <c r="G1103" s="61"/>
      <c r="H1103" s="68"/>
      <c r="I1103" s="49"/>
      <c r="J1103" s="49"/>
      <c r="K1103" s="49"/>
      <c r="L1103" s="49"/>
      <c r="M1103" s="49"/>
      <c r="N1103" s="49"/>
      <c r="O1103" s="49"/>
    </row>
    <row r="1104" spans="3:15" ht="19.5" customHeight="1">
      <c r="C1104" s="66"/>
      <c r="D1104" s="64"/>
      <c r="E1104" s="61"/>
      <c r="F1104" s="62"/>
      <c r="G1104" s="61"/>
      <c r="H1104" s="68"/>
      <c r="I1104" s="49"/>
      <c r="J1104" s="49"/>
      <c r="K1104" s="49"/>
      <c r="L1104" s="49"/>
      <c r="M1104" s="49"/>
      <c r="N1104" s="49"/>
      <c r="O1104" s="49"/>
    </row>
    <row r="1105" spans="3:15" ht="19.5" customHeight="1">
      <c r="C1105" s="66"/>
      <c r="D1105" s="64"/>
      <c r="E1105" s="61"/>
      <c r="F1105" s="62"/>
      <c r="G1105" s="61"/>
      <c r="H1105" s="68"/>
      <c r="I1105" s="49"/>
      <c r="J1105" s="49"/>
      <c r="K1105" s="49"/>
      <c r="L1105" s="49"/>
      <c r="M1105" s="49"/>
      <c r="N1105" s="49"/>
      <c r="O1105" s="49"/>
    </row>
    <row r="1106" spans="3:15" ht="19.5" customHeight="1">
      <c r="C1106" s="66"/>
      <c r="D1106" s="64"/>
      <c r="E1106" s="61"/>
      <c r="F1106" s="62"/>
      <c r="G1106" s="61"/>
      <c r="H1106" s="68"/>
      <c r="I1106" s="49"/>
      <c r="J1106" s="49"/>
      <c r="K1106" s="49"/>
      <c r="L1106" s="49"/>
      <c r="M1106" s="49"/>
      <c r="N1106" s="49"/>
      <c r="O1106" s="49"/>
    </row>
    <row r="1107" spans="3:15" ht="19.5" customHeight="1">
      <c r="C1107" s="66"/>
      <c r="D1107" s="64"/>
      <c r="E1107" s="61"/>
      <c r="F1107" s="62"/>
      <c r="G1107" s="61"/>
      <c r="H1107" s="68"/>
      <c r="I1107" s="49"/>
      <c r="J1107" s="49"/>
      <c r="K1107" s="49"/>
      <c r="L1107" s="49"/>
      <c r="M1107" s="49"/>
      <c r="N1107" s="49"/>
      <c r="O1107" s="49"/>
    </row>
    <row r="1108" spans="3:15" ht="19.5" customHeight="1">
      <c r="C1108" s="66"/>
      <c r="D1108" s="64"/>
      <c r="E1108" s="61"/>
      <c r="F1108" s="62"/>
      <c r="G1108" s="61"/>
      <c r="H1108" s="68"/>
      <c r="I1108" s="49"/>
      <c r="J1108" s="49"/>
      <c r="K1108" s="49"/>
      <c r="L1108" s="49"/>
      <c r="M1108" s="49"/>
      <c r="N1108" s="49"/>
      <c r="O1108" s="49"/>
    </row>
    <row r="1109" spans="3:15" ht="19.5" customHeight="1">
      <c r="C1109" s="66"/>
      <c r="D1109" s="64"/>
      <c r="E1109" s="61"/>
      <c r="F1109" s="62"/>
      <c r="G1109" s="61"/>
      <c r="H1109" s="68"/>
      <c r="I1109" s="49"/>
      <c r="J1109" s="49"/>
      <c r="K1109" s="49"/>
      <c r="L1109" s="49"/>
      <c r="M1109" s="49"/>
      <c r="N1109" s="49"/>
      <c r="O1109" s="49"/>
    </row>
    <row r="1110" spans="3:15" ht="19.5" customHeight="1">
      <c r="C1110" s="66"/>
      <c r="D1110" s="64"/>
      <c r="E1110" s="61"/>
      <c r="F1110" s="62"/>
      <c r="G1110" s="61"/>
      <c r="H1110" s="68"/>
      <c r="I1110" s="49"/>
      <c r="J1110" s="49"/>
      <c r="K1110" s="49"/>
      <c r="L1110" s="49"/>
      <c r="M1110" s="49"/>
      <c r="N1110" s="49"/>
      <c r="O1110" s="49"/>
    </row>
    <row r="1111" spans="3:15" ht="19.5" customHeight="1">
      <c r="C1111" s="66"/>
      <c r="D1111" s="64"/>
      <c r="E1111" s="61"/>
      <c r="F1111" s="62"/>
      <c r="G1111" s="61"/>
      <c r="H1111" s="68"/>
      <c r="I1111" s="49"/>
      <c r="J1111" s="49"/>
      <c r="K1111" s="49"/>
      <c r="L1111" s="49"/>
      <c r="M1111" s="49"/>
      <c r="N1111" s="49"/>
      <c r="O1111" s="49"/>
    </row>
    <row r="1112" spans="3:15" ht="19.5" customHeight="1">
      <c r="C1112" s="66"/>
      <c r="D1112" s="64"/>
      <c r="E1112" s="61"/>
      <c r="F1112" s="62"/>
      <c r="G1112" s="61"/>
      <c r="H1112" s="68"/>
      <c r="I1112" s="49"/>
      <c r="J1112" s="49"/>
      <c r="K1112" s="49"/>
      <c r="L1112" s="49"/>
      <c r="M1112" s="49"/>
      <c r="N1112" s="49"/>
      <c r="O1112" s="49"/>
    </row>
    <row r="1113" spans="3:15" ht="19.5" customHeight="1">
      <c r="C1113" s="66"/>
      <c r="D1113" s="64"/>
      <c r="E1113" s="61"/>
      <c r="F1113" s="62"/>
      <c r="G1113" s="61"/>
      <c r="H1113" s="68"/>
      <c r="I1113" s="49"/>
      <c r="J1113" s="49"/>
      <c r="K1113" s="49"/>
      <c r="L1113" s="49"/>
      <c r="M1113" s="49"/>
      <c r="N1113" s="49"/>
      <c r="O1113" s="49"/>
    </row>
    <row r="1114" spans="3:15" ht="19.5" customHeight="1">
      <c r="C1114" s="66"/>
      <c r="D1114" s="64"/>
      <c r="E1114" s="61"/>
      <c r="F1114" s="62"/>
      <c r="G1114" s="61"/>
      <c r="H1114" s="68"/>
      <c r="I1114" s="49"/>
      <c r="J1114" s="49"/>
      <c r="K1114" s="49"/>
      <c r="L1114" s="49"/>
      <c r="M1114" s="49"/>
      <c r="N1114" s="49"/>
      <c r="O1114" s="49"/>
    </row>
    <row r="1115" spans="3:15" ht="19.5" customHeight="1">
      <c r="C1115" s="66"/>
      <c r="D1115" s="64"/>
      <c r="E1115" s="61"/>
      <c r="F1115" s="62"/>
      <c r="G1115" s="61"/>
      <c r="H1115" s="68"/>
      <c r="I1115" s="49"/>
      <c r="J1115" s="49"/>
      <c r="K1115" s="49"/>
      <c r="L1115" s="49"/>
      <c r="M1115" s="49"/>
      <c r="N1115" s="49"/>
      <c r="O1115" s="49"/>
    </row>
    <row r="1116" spans="3:15" ht="19.5" customHeight="1">
      <c r="C1116" s="66"/>
      <c r="D1116" s="64"/>
      <c r="E1116" s="61"/>
      <c r="F1116" s="62"/>
      <c r="G1116" s="61"/>
      <c r="H1116" s="68"/>
      <c r="I1116" s="49"/>
      <c r="J1116" s="49"/>
      <c r="K1116" s="49"/>
      <c r="L1116" s="49"/>
      <c r="M1116" s="49"/>
      <c r="N1116" s="49"/>
      <c r="O1116" s="49"/>
    </row>
    <row r="1117" spans="3:15" ht="19.5" customHeight="1">
      <c r="C1117" s="66"/>
      <c r="D1117" s="64"/>
      <c r="E1117" s="61"/>
      <c r="F1117" s="62"/>
      <c r="G1117" s="61"/>
      <c r="H1117" s="68"/>
      <c r="I1117" s="49"/>
      <c r="J1117" s="49"/>
      <c r="K1117" s="49"/>
      <c r="L1117" s="49"/>
      <c r="M1117" s="49"/>
      <c r="N1117" s="49"/>
      <c r="O1117" s="49"/>
    </row>
    <row r="1118" spans="3:15" ht="19.5" customHeight="1">
      <c r="C1118" s="66"/>
      <c r="D1118" s="64"/>
      <c r="E1118" s="61"/>
      <c r="F1118" s="62"/>
      <c r="G1118" s="61"/>
      <c r="H1118" s="68"/>
      <c r="I1118" s="49"/>
      <c r="J1118" s="49"/>
      <c r="K1118" s="49"/>
      <c r="L1118" s="49"/>
      <c r="M1118" s="49"/>
      <c r="N1118" s="49"/>
      <c r="O1118" s="49"/>
    </row>
    <row r="1119" spans="3:15" ht="19.5" customHeight="1">
      <c r="C1119" s="66"/>
      <c r="D1119" s="64"/>
      <c r="E1119" s="61"/>
      <c r="F1119" s="62"/>
      <c r="G1119" s="61"/>
      <c r="H1119" s="68"/>
      <c r="I1119" s="49"/>
      <c r="J1119" s="49"/>
      <c r="K1119" s="49"/>
      <c r="L1119" s="49"/>
      <c r="M1119" s="49"/>
      <c r="N1119" s="49"/>
      <c r="O1119" s="49"/>
    </row>
    <row r="1120" spans="3:15" ht="19.5" customHeight="1">
      <c r="C1120" s="66"/>
      <c r="D1120" s="64"/>
      <c r="E1120" s="61"/>
      <c r="F1120" s="62"/>
      <c r="G1120" s="61"/>
      <c r="H1120" s="68"/>
      <c r="I1120" s="49"/>
      <c r="J1120" s="49"/>
      <c r="K1120" s="49"/>
      <c r="L1120" s="49"/>
      <c r="M1120" s="49"/>
      <c r="N1120" s="49"/>
      <c r="O1120" s="49"/>
    </row>
    <row r="1121" spans="3:15" ht="19.5" customHeight="1">
      <c r="C1121" s="66"/>
      <c r="D1121" s="64"/>
      <c r="E1121" s="61"/>
      <c r="F1121" s="62"/>
      <c r="G1121" s="61"/>
      <c r="H1121" s="68"/>
      <c r="I1121" s="49"/>
      <c r="J1121" s="49"/>
      <c r="K1121" s="49"/>
      <c r="L1121" s="49"/>
      <c r="M1121" s="49"/>
      <c r="N1121" s="49"/>
      <c r="O1121" s="49"/>
    </row>
    <row r="1122" spans="3:15" ht="19.5" customHeight="1">
      <c r="C1122" s="66"/>
      <c r="D1122" s="64"/>
      <c r="E1122" s="61"/>
      <c r="F1122" s="62"/>
      <c r="G1122" s="61"/>
      <c r="H1122" s="68"/>
      <c r="I1122" s="49"/>
      <c r="J1122" s="49"/>
      <c r="K1122" s="49"/>
      <c r="L1122" s="49"/>
      <c r="M1122" s="49"/>
      <c r="N1122" s="49"/>
      <c r="O1122" s="49"/>
    </row>
    <row r="1123" spans="3:15" ht="19.5" customHeight="1">
      <c r="C1123" s="66"/>
      <c r="D1123" s="64"/>
      <c r="E1123" s="61"/>
      <c r="F1123" s="62"/>
      <c r="G1123" s="61"/>
      <c r="H1123" s="68"/>
      <c r="I1123" s="49"/>
      <c r="J1123" s="49"/>
      <c r="K1123" s="49"/>
      <c r="L1123" s="49"/>
      <c r="M1123" s="49"/>
      <c r="N1123" s="49"/>
      <c r="O1123" s="49"/>
    </row>
    <row r="1124" spans="3:15" ht="19.5" customHeight="1">
      <c r="C1124" s="66"/>
      <c r="D1124" s="64"/>
      <c r="E1124" s="61"/>
      <c r="F1124" s="62"/>
      <c r="G1124" s="61"/>
      <c r="H1124" s="68"/>
      <c r="I1124" s="49"/>
      <c r="J1124" s="49"/>
      <c r="K1124" s="49"/>
      <c r="L1124" s="49"/>
      <c r="M1124" s="49"/>
      <c r="N1124" s="49"/>
      <c r="O1124" s="49"/>
    </row>
    <row r="1125" spans="3:15" ht="19.5" customHeight="1">
      <c r="C1125" s="66"/>
      <c r="D1125" s="64"/>
      <c r="E1125" s="61"/>
      <c r="F1125" s="62"/>
      <c r="G1125" s="61"/>
      <c r="H1125" s="68"/>
      <c r="I1125" s="49"/>
      <c r="J1125" s="49"/>
      <c r="K1125" s="49"/>
      <c r="L1125" s="49"/>
      <c r="M1125" s="49"/>
      <c r="N1125" s="49"/>
      <c r="O1125" s="49"/>
    </row>
    <row r="1126" spans="3:15" ht="19.5" customHeight="1">
      <c r="C1126" s="66"/>
      <c r="D1126" s="64"/>
      <c r="E1126" s="61"/>
      <c r="F1126" s="62"/>
      <c r="G1126" s="61"/>
      <c r="H1126" s="68"/>
      <c r="I1126" s="49"/>
      <c r="J1126" s="49"/>
      <c r="K1126" s="49"/>
      <c r="L1126" s="49"/>
      <c r="M1126" s="49"/>
      <c r="N1126" s="49"/>
      <c r="O1126" s="49"/>
    </row>
    <row r="1127" spans="3:15" ht="19.5" customHeight="1">
      <c r="C1127" s="66"/>
      <c r="D1127" s="64"/>
      <c r="E1127" s="61"/>
      <c r="F1127" s="62"/>
      <c r="G1127" s="61"/>
      <c r="H1127" s="68"/>
      <c r="I1127" s="49"/>
      <c r="J1127" s="49"/>
      <c r="K1127" s="49"/>
      <c r="L1127" s="49"/>
      <c r="M1127" s="49"/>
      <c r="N1127" s="49"/>
      <c r="O1127" s="49"/>
    </row>
    <row r="1128" spans="3:15" ht="19.5" customHeight="1">
      <c r="C1128" s="66"/>
      <c r="D1128" s="64"/>
      <c r="E1128" s="61"/>
      <c r="F1128" s="62"/>
      <c r="G1128" s="61"/>
      <c r="H1128" s="68"/>
      <c r="I1128" s="49"/>
      <c r="J1128" s="49"/>
      <c r="K1128" s="49"/>
      <c r="L1128" s="49"/>
      <c r="M1128" s="49"/>
      <c r="N1128" s="49"/>
      <c r="O1128" s="49"/>
    </row>
    <row r="1129" spans="3:15" ht="19.5" customHeight="1">
      <c r="C1129" s="66"/>
      <c r="D1129" s="64"/>
      <c r="E1129" s="61"/>
      <c r="F1129" s="62"/>
      <c r="G1129" s="61"/>
      <c r="H1129" s="68"/>
      <c r="I1129" s="49"/>
      <c r="J1129" s="49"/>
      <c r="K1129" s="49"/>
      <c r="L1129" s="49"/>
      <c r="M1129" s="49"/>
      <c r="N1129" s="49"/>
      <c r="O1129" s="49"/>
    </row>
    <row r="1130" spans="3:15" ht="19.5" customHeight="1">
      <c r="C1130" s="66"/>
      <c r="D1130" s="64"/>
      <c r="E1130" s="61"/>
      <c r="F1130" s="62"/>
      <c r="G1130" s="61"/>
      <c r="H1130" s="68"/>
      <c r="I1130" s="49"/>
      <c r="J1130" s="49"/>
      <c r="K1130" s="49"/>
      <c r="L1130" s="49"/>
      <c r="M1130" s="49"/>
      <c r="N1130" s="49"/>
      <c r="O1130" s="49"/>
    </row>
    <row r="1131" spans="3:15" ht="19.5" customHeight="1">
      <c r="C1131" s="66"/>
      <c r="D1131" s="64"/>
      <c r="E1131" s="61"/>
      <c r="F1131" s="62"/>
      <c r="G1131" s="61"/>
      <c r="H1131" s="68"/>
      <c r="I1131" s="49"/>
      <c r="J1131" s="49"/>
      <c r="K1131" s="49"/>
      <c r="L1131" s="49"/>
      <c r="M1131" s="49"/>
      <c r="N1131" s="49"/>
      <c r="O1131" s="49"/>
    </row>
    <row r="1132" spans="3:15" ht="19.5" customHeight="1">
      <c r="C1132" s="66"/>
      <c r="D1132" s="64"/>
      <c r="E1132" s="61"/>
      <c r="F1132" s="62"/>
      <c r="G1132" s="61"/>
      <c r="H1132" s="68"/>
      <c r="I1132" s="49"/>
      <c r="J1132" s="49"/>
      <c r="K1132" s="49"/>
      <c r="L1132" s="49"/>
      <c r="M1132" s="49"/>
      <c r="N1132" s="49"/>
      <c r="O1132" s="49"/>
    </row>
    <row r="1133" spans="3:15" ht="19.5" customHeight="1">
      <c r="C1133" s="66"/>
      <c r="D1133" s="64"/>
      <c r="E1133" s="61"/>
      <c r="F1133" s="62"/>
      <c r="G1133" s="61"/>
      <c r="H1133" s="68"/>
      <c r="I1133" s="49"/>
      <c r="J1133" s="49"/>
      <c r="K1133" s="49"/>
      <c r="L1133" s="49"/>
      <c r="M1133" s="49"/>
      <c r="N1133" s="49"/>
      <c r="O1133" s="49"/>
    </row>
    <row r="1134" spans="3:15" ht="19.5" customHeight="1">
      <c r="C1134" s="66"/>
      <c r="D1134" s="64"/>
      <c r="E1134" s="61"/>
      <c r="F1134" s="62"/>
      <c r="G1134" s="61"/>
      <c r="H1134" s="68"/>
      <c r="I1134" s="49"/>
      <c r="J1134" s="49"/>
      <c r="K1134" s="49"/>
      <c r="L1134" s="49"/>
      <c r="M1134" s="49"/>
      <c r="N1134" s="49"/>
      <c r="O1134" s="49"/>
    </row>
    <row r="1135" spans="3:15" ht="19.5" customHeight="1">
      <c r="C1135" s="66"/>
      <c r="D1135" s="64"/>
      <c r="E1135" s="61"/>
      <c r="F1135" s="62"/>
      <c r="G1135" s="61"/>
      <c r="H1135" s="68"/>
      <c r="I1135" s="49"/>
      <c r="J1135" s="49"/>
      <c r="K1135" s="49"/>
      <c r="L1135" s="49"/>
      <c r="M1135" s="49"/>
      <c r="N1135" s="49"/>
      <c r="O1135" s="49"/>
    </row>
    <row r="1136" spans="3:15" ht="19.5" customHeight="1">
      <c r="C1136" s="66"/>
      <c r="D1136" s="64"/>
      <c r="E1136" s="61"/>
      <c r="F1136" s="62"/>
      <c r="G1136" s="61"/>
      <c r="H1136" s="68"/>
      <c r="I1136" s="49"/>
      <c r="J1136" s="49"/>
      <c r="K1136" s="49"/>
      <c r="L1136" s="49"/>
      <c r="M1136" s="49"/>
      <c r="N1136" s="49"/>
      <c r="O1136" s="49"/>
    </row>
    <row r="1137" spans="3:15" ht="19.5" customHeight="1">
      <c r="C1137" s="66"/>
      <c r="D1137" s="64"/>
      <c r="E1137" s="61"/>
      <c r="F1137" s="62"/>
      <c r="G1137" s="61"/>
      <c r="H1137" s="68"/>
      <c r="I1137" s="49"/>
      <c r="J1137" s="49"/>
      <c r="K1137" s="49"/>
      <c r="L1137" s="49"/>
      <c r="M1137" s="49"/>
      <c r="N1137" s="49"/>
      <c r="O1137" s="49"/>
    </row>
    <row r="1138" spans="3:15" ht="19.5" customHeight="1">
      <c r="C1138" s="66"/>
      <c r="D1138" s="64"/>
      <c r="E1138" s="61"/>
      <c r="F1138" s="62"/>
      <c r="G1138" s="61"/>
      <c r="H1138" s="68"/>
      <c r="I1138" s="49"/>
      <c r="J1138" s="49"/>
      <c r="K1138" s="49"/>
      <c r="L1138" s="49"/>
      <c r="M1138" s="49"/>
      <c r="N1138" s="49"/>
      <c r="O1138" s="49"/>
    </row>
    <row r="1139" spans="3:15" ht="19.5" customHeight="1">
      <c r="C1139" s="66"/>
      <c r="D1139" s="64"/>
      <c r="E1139" s="61"/>
      <c r="F1139" s="62"/>
      <c r="G1139" s="61"/>
      <c r="H1139" s="68"/>
      <c r="I1139" s="49"/>
      <c r="J1139" s="49"/>
      <c r="K1139" s="49"/>
      <c r="L1139" s="49"/>
      <c r="M1139" s="49"/>
      <c r="N1139" s="49"/>
      <c r="O1139" s="49"/>
    </row>
    <row r="1140" spans="3:15" ht="19.5" customHeight="1">
      <c r="C1140" s="66"/>
      <c r="D1140" s="64"/>
      <c r="E1140" s="61"/>
      <c r="F1140" s="62"/>
      <c r="G1140" s="61"/>
      <c r="H1140" s="68"/>
      <c r="I1140" s="49"/>
      <c r="J1140" s="49"/>
      <c r="K1140" s="49"/>
      <c r="L1140" s="49"/>
      <c r="M1140" s="49"/>
      <c r="N1140" s="49"/>
      <c r="O1140" s="49"/>
    </row>
    <row r="1141" spans="3:15" ht="19.5" customHeight="1">
      <c r="C1141" s="66"/>
      <c r="D1141" s="64"/>
      <c r="E1141" s="61"/>
      <c r="F1141" s="62"/>
      <c r="G1141" s="61"/>
      <c r="H1141" s="68"/>
      <c r="I1141" s="49"/>
      <c r="J1141" s="49"/>
      <c r="K1141" s="49"/>
      <c r="L1141" s="49"/>
      <c r="M1141" s="49"/>
      <c r="N1141" s="49"/>
      <c r="O1141" s="49"/>
    </row>
    <row r="1142" spans="3:15" ht="19.5" customHeight="1">
      <c r="C1142" s="66"/>
      <c r="D1142" s="64"/>
      <c r="E1142" s="61"/>
      <c r="F1142" s="62"/>
      <c r="G1142" s="61"/>
      <c r="H1142" s="68"/>
      <c r="I1142" s="49"/>
      <c r="J1142" s="49"/>
      <c r="K1142" s="49"/>
      <c r="L1142" s="49"/>
      <c r="M1142" s="49"/>
      <c r="N1142" s="49"/>
      <c r="O1142" s="49"/>
    </row>
    <row r="1143" spans="3:15" ht="19.5" customHeight="1">
      <c r="C1143" s="66"/>
      <c r="D1143" s="64"/>
      <c r="E1143" s="61"/>
      <c r="F1143" s="62"/>
      <c r="G1143" s="61"/>
      <c r="H1143" s="68"/>
      <c r="I1143" s="49"/>
      <c r="J1143" s="49"/>
      <c r="K1143" s="49"/>
      <c r="L1143" s="49"/>
      <c r="M1143" s="49"/>
      <c r="N1143" s="49"/>
      <c r="O1143" s="49"/>
    </row>
    <row r="1144" spans="3:15" ht="19.5" customHeight="1">
      <c r="C1144" s="66"/>
      <c r="D1144" s="64"/>
      <c r="E1144" s="61"/>
      <c r="F1144" s="62"/>
      <c r="G1144" s="61"/>
      <c r="H1144" s="68"/>
      <c r="I1144" s="49"/>
      <c r="J1144" s="49"/>
      <c r="K1144" s="49"/>
      <c r="L1144" s="49"/>
      <c r="M1144" s="49"/>
      <c r="N1144" s="49"/>
      <c r="O1144" s="49"/>
    </row>
    <row r="1145" spans="3:15" ht="19.5" customHeight="1">
      <c r="C1145" s="66"/>
      <c r="D1145" s="64"/>
      <c r="E1145" s="61"/>
      <c r="F1145" s="62"/>
      <c r="G1145" s="61"/>
      <c r="H1145" s="68"/>
      <c r="I1145" s="49"/>
      <c r="J1145" s="49"/>
      <c r="K1145" s="49"/>
      <c r="L1145" s="49"/>
      <c r="M1145" s="49"/>
      <c r="N1145" s="49"/>
      <c r="O1145" s="49"/>
    </row>
    <row r="1146" spans="3:15" ht="19.5" customHeight="1">
      <c r="C1146" s="66"/>
      <c r="D1146" s="64"/>
      <c r="E1146" s="61"/>
      <c r="F1146" s="62"/>
      <c r="G1146" s="61"/>
      <c r="H1146" s="68"/>
      <c r="I1146" s="49"/>
      <c r="J1146" s="49"/>
      <c r="K1146" s="49"/>
      <c r="L1146" s="49"/>
      <c r="M1146" s="49"/>
      <c r="N1146" s="49"/>
      <c r="O1146" s="49"/>
    </row>
    <row r="1147" spans="3:15" ht="19.5" customHeight="1">
      <c r="C1147" s="66"/>
      <c r="D1147" s="64"/>
      <c r="E1147" s="61"/>
      <c r="F1147" s="62"/>
      <c r="G1147" s="61"/>
      <c r="H1147" s="68"/>
      <c r="I1147" s="49"/>
      <c r="J1147" s="49"/>
      <c r="K1147" s="49"/>
      <c r="L1147" s="49"/>
      <c r="M1147" s="49"/>
      <c r="N1147" s="49"/>
      <c r="O1147" s="49"/>
    </row>
    <row r="1148" spans="3:15" ht="19.5" customHeight="1">
      <c r="C1148" s="66"/>
      <c r="D1148" s="64"/>
      <c r="E1148" s="61"/>
      <c r="F1148" s="62"/>
      <c r="G1148" s="61"/>
      <c r="H1148" s="68"/>
      <c r="I1148" s="49"/>
      <c r="J1148" s="49"/>
      <c r="K1148" s="49"/>
      <c r="L1148" s="49"/>
      <c r="M1148" s="49"/>
      <c r="N1148" s="49"/>
      <c r="O1148" s="49"/>
    </row>
    <row r="1149" spans="3:15" ht="19.5" customHeight="1">
      <c r="C1149" s="66"/>
      <c r="D1149" s="64"/>
      <c r="E1149" s="61"/>
      <c r="F1149" s="62"/>
      <c r="G1149" s="61"/>
      <c r="H1149" s="68"/>
      <c r="I1149" s="49"/>
      <c r="J1149" s="49"/>
      <c r="K1149" s="49"/>
      <c r="L1149" s="49"/>
      <c r="M1149" s="49"/>
      <c r="N1149" s="49"/>
      <c r="O1149" s="49"/>
    </row>
    <row r="1150" spans="3:15" ht="19.5" customHeight="1">
      <c r="C1150" s="66"/>
      <c r="D1150" s="64"/>
      <c r="E1150" s="61"/>
      <c r="F1150" s="62"/>
      <c r="G1150" s="61"/>
      <c r="H1150" s="68"/>
      <c r="I1150" s="49"/>
      <c r="J1150" s="49"/>
      <c r="K1150" s="49"/>
      <c r="L1150" s="49"/>
      <c r="M1150" s="49"/>
      <c r="N1150" s="49"/>
      <c r="O1150" s="49"/>
    </row>
    <row r="1151" spans="3:15" ht="19.5" customHeight="1">
      <c r="C1151" s="66"/>
      <c r="D1151" s="64"/>
      <c r="E1151" s="61"/>
      <c r="F1151" s="62"/>
      <c r="G1151" s="61"/>
      <c r="H1151" s="68"/>
      <c r="I1151" s="49"/>
      <c r="J1151" s="49"/>
      <c r="K1151" s="49"/>
      <c r="L1151" s="49"/>
      <c r="M1151" s="49"/>
      <c r="N1151" s="49"/>
      <c r="O1151" s="49"/>
    </row>
    <row r="1152" spans="3:15" ht="19.5" customHeight="1">
      <c r="C1152" s="66"/>
      <c r="D1152" s="64"/>
      <c r="E1152" s="61"/>
      <c r="F1152" s="62"/>
      <c r="G1152" s="61"/>
      <c r="H1152" s="68"/>
      <c r="I1152" s="49"/>
      <c r="J1152" s="49"/>
      <c r="K1152" s="49"/>
      <c r="L1152" s="49"/>
      <c r="M1152" s="49"/>
      <c r="N1152" s="49"/>
      <c r="O1152" s="49"/>
    </row>
    <row r="1153" spans="3:15" ht="19.5" customHeight="1">
      <c r="C1153" s="66"/>
      <c r="D1153" s="64"/>
      <c r="E1153" s="61"/>
      <c r="F1153" s="62"/>
      <c r="G1153" s="61"/>
      <c r="H1153" s="68"/>
      <c r="I1153" s="49"/>
      <c r="J1153" s="49"/>
      <c r="K1153" s="49"/>
      <c r="L1153" s="49"/>
      <c r="M1153" s="49"/>
      <c r="N1153" s="49"/>
      <c r="O1153" s="49"/>
    </row>
    <row r="1154" spans="3:15" ht="19.5" customHeight="1">
      <c r="C1154" s="66"/>
      <c r="D1154" s="64"/>
      <c r="E1154" s="61"/>
      <c r="F1154" s="62"/>
      <c r="G1154" s="61"/>
      <c r="H1154" s="68"/>
      <c r="I1154" s="49"/>
      <c r="J1154" s="49"/>
      <c r="K1154" s="49"/>
      <c r="L1154" s="49"/>
      <c r="M1154" s="49"/>
      <c r="N1154" s="49"/>
      <c r="O1154" s="49"/>
    </row>
    <row r="1155" spans="3:15" ht="19.5" customHeight="1">
      <c r="C1155" s="66"/>
      <c r="D1155" s="64"/>
      <c r="E1155" s="61"/>
      <c r="F1155" s="62"/>
      <c r="G1155" s="61"/>
      <c r="H1155" s="68"/>
      <c r="I1155" s="49"/>
      <c r="J1155" s="49"/>
      <c r="K1155" s="49"/>
      <c r="L1155" s="49"/>
      <c r="M1155" s="49"/>
      <c r="N1155" s="49"/>
      <c r="O1155" s="49"/>
    </row>
    <row r="1156" spans="3:15" ht="19.5" customHeight="1">
      <c r="C1156" s="66"/>
      <c r="D1156" s="64"/>
      <c r="E1156" s="61"/>
      <c r="F1156" s="62"/>
      <c r="G1156" s="61"/>
      <c r="H1156" s="68"/>
      <c r="I1156" s="49"/>
      <c r="J1156" s="49"/>
      <c r="K1156" s="49"/>
      <c r="L1156" s="49"/>
      <c r="M1156" s="49"/>
      <c r="N1156" s="49"/>
      <c r="O1156" s="49"/>
    </row>
    <row r="1157" spans="3:15" ht="19.5" customHeight="1">
      <c r="C1157" s="66"/>
      <c r="D1157" s="64"/>
      <c r="E1157" s="61"/>
      <c r="F1157" s="62"/>
      <c r="G1157" s="61"/>
      <c r="H1157" s="68"/>
      <c r="I1157" s="49"/>
      <c r="J1157" s="49"/>
      <c r="K1157" s="49"/>
      <c r="L1157" s="49"/>
      <c r="M1157" s="49"/>
      <c r="N1157" s="49"/>
      <c r="O1157" s="49"/>
    </row>
    <row r="1158" spans="3:15" ht="19.5" customHeight="1">
      <c r="C1158" s="66"/>
      <c r="D1158" s="64"/>
      <c r="E1158" s="61"/>
      <c r="F1158" s="62"/>
      <c r="G1158" s="61"/>
      <c r="H1158" s="68"/>
      <c r="I1158" s="49"/>
      <c r="J1158" s="49"/>
      <c r="K1158" s="49"/>
      <c r="L1158" s="49"/>
      <c r="M1158" s="49"/>
      <c r="N1158" s="49"/>
      <c r="O1158" s="49"/>
    </row>
    <row r="1159" spans="3:15" ht="19.5" customHeight="1">
      <c r="C1159" s="66"/>
      <c r="D1159" s="64"/>
      <c r="E1159" s="61"/>
      <c r="F1159" s="62"/>
      <c r="G1159" s="61"/>
      <c r="H1159" s="68"/>
      <c r="I1159" s="49"/>
      <c r="J1159" s="49"/>
      <c r="K1159" s="49"/>
      <c r="L1159" s="49"/>
      <c r="M1159" s="49"/>
      <c r="N1159" s="49"/>
      <c r="O1159" s="49"/>
    </row>
    <row r="1160" spans="3:15" ht="19.5" customHeight="1">
      <c r="C1160" s="66"/>
      <c r="D1160" s="64"/>
      <c r="E1160" s="61"/>
      <c r="F1160" s="62"/>
      <c r="G1160" s="61"/>
      <c r="H1160" s="68"/>
      <c r="I1160" s="49"/>
      <c r="J1160" s="49"/>
      <c r="K1160" s="49"/>
      <c r="L1160" s="49"/>
      <c r="M1160" s="49"/>
      <c r="N1160" s="49"/>
      <c r="O1160" s="49"/>
    </row>
    <row r="1161" spans="3:15" ht="19.5" customHeight="1">
      <c r="C1161" s="66"/>
      <c r="D1161" s="64"/>
      <c r="E1161" s="61"/>
      <c r="F1161" s="62"/>
      <c r="G1161" s="61"/>
      <c r="H1161" s="68"/>
      <c r="I1161" s="49"/>
      <c r="J1161" s="49"/>
      <c r="K1161" s="49"/>
      <c r="L1161" s="49"/>
      <c r="M1161" s="49"/>
      <c r="N1161" s="49"/>
      <c r="O1161" s="49"/>
    </row>
    <row r="1162" spans="3:15" ht="19.5" customHeight="1">
      <c r="C1162" s="66"/>
      <c r="D1162" s="64"/>
      <c r="E1162" s="61"/>
      <c r="F1162" s="62"/>
      <c r="G1162" s="61"/>
      <c r="H1162" s="68"/>
      <c r="I1162" s="49"/>
      <c r="J1162" s="49"/>
      <c r="K1162" s="49"/>
      <c r="L1162" s="49"/>
      <c r="M1162" s="49"/>
      <c r="N1162" s="49"/>
      <c r="O1162" s="49"/>
    </row>
    <row r="1163" spans="3:15" ht="19.5" customHeight="1">
      <c r="C1163" s="66"/>
      <c r="D1163" s="64"/>
      <c r="E1163" s="61"/>
      <c r="F1163" s="62"/>
      <c r="G1163" s="61"/>
      <c r="H1163" s="68"/>
      <c r="I1163" s="49"/>
      <c r="J1163" s="49"/>
      <c r="K1163" s="49"/>
      <c r="L1163" s="49"/>
      <c r="M1163" s="49"/>
      <c r="N1163" s="49"/>
      <c r="O1163" s="49"/>
    </row>
    <row r="1164" spans="3:15" ht="19.5" customHeight="1">
      <c r="C1164" s="66"/>
      <c r="D1164" s="64"/>
      <c r="E1164" s="61"/>
      <c r="F1164" s="62"/>
      <c r="G1164" s="61"/>
      <c r="H1164" s="68"/>
      <c r="I1164" s="49"/>
      <c r="J1164" s="49"/>
      <c r="K1164" s="49"/>
      <c r="L1164" s="49"/>
      <c r="M1164" s="49"/>
      <c r="N1164" s="49"/>
      <c r="O1164" s="49"/>
    </row>
    <row r="1165" spans="3:15" ht="19.5" customHeight="1">
      <c r="C1165" s="66"/>
      <c r="D1165" s="64"/>
      <c r="E1165" s="61"/>
      <c r="F1165" s="62"/>
      <c r="G1165" s="61"/>
      <c r="H1165" s="68"/>
      <c r="I1165" s="49"/>
      <c r="J1165" s="49"/>
      <c r="K1165" s="49"/>
      <c r="L1165" s="49"/>
      <c r="M1165" s="49"/>
      <c r="N1165" s="49"/>
      <c r="O1165" s="49"/>
    </row>
    <row r="1166" spans="3:15" ht="19.5" customHeight="1">
      <c r="C1166" s="66"/>
      <c r="D1166" s="64"/>
      <c r="E1166" s="61"/>
      <c r="F1166" s="62"/>
      <c r="G1166" s="61"/>
      <c r="H1166" s="68"/>
      <c r="I1166" s="49"/>
      <c r="J1166" s="49"/>
      <c r="K1166" s="49"/>
      <c r="L1166" s="49"/>
      <c r="M1166" s="49"/>
      <c r="N1166" s="49"/>
      <c r="O1166" s="49"/>
    </row>
    <row r="1167" spans="3:15" ht="19.5" customHeight="1">
      <c r="C1167" s="66"/>
      <c r="D1167" s="64"/>
      <c r="E1167" s="61"/>
      <c r="F1167" s="62"/>
      <c r="G1167" s="61"/>
      <c r="H1167" s="68"/>
      <c r="I1167" s="49"/>
      <c r="J1167" s="49"/>
      <c r="K1167" s="49"/>
      <c r="L1167" s="49"/>
      <c r="M1167" s="49"/>
      <c r="N1167" s="49"/>
      <c r="O1167" s="49"/>
    </row>
    <row r="1168" spans="3:15" ht="19.5" customHeight="1">
      <c r="C1168" s="66"/>
      <c r="D1168" s="64"/>
      <c r="E1168" s="61"/>
      <c r="F1168" s="62"/>
      <c r="G1168" s="61"/>
      <c r="H1168" s="68"/>
      <c r="I1168" s="49"/>
      <c r="J1168" s="49"/>
      <c r="K1168" s="49"/>
      <c r="L1168" s="49"/>
      <c r="M1168" s="49"/>
      <c r="N1168" s="49"/>
      <c r="O1168" s="49"/>
    </row>
    <row r="1169" spans="3:15" ht="19.5" customHeight="1">
      <c r="C1169" s="66"/>
      <c r="D1169" s="64"/>
      <c r="E1169" s="61"/>
      <c r="F1169" s="62"/>
      <c r="G1169" s="61"/>
      <c r="H1169" s="68"/>
      <c r="I1169" s="49"/>
      <c r="J1169" s="49"/>
      <c r="K1169" s="49"/>
      <c r="L1169" s="49"/>
      <c r="M1169" s="49"/>
      <c r="N1169" s="49"/>
      <c r="O1169" s="49"/>
    </row>
    <row r="1170" spans="3:15" ht="19.5" customHeight="1">
      <c r="C1170" s="66"/>
      <c r="D1170" s="64"/>
      <c r="E1170" s="61"/>
      <c r="F1170" s="62"/>
      <c r="G1170" s="61"/>
      <c r="H1170" s="68"/>
      <c r="I1170" s="49"/>
      <c r="J1170" s="49"/>
      <c r="K1170" s="49"/>
      <c r="L1170" s="49"/>
      <c r="M1170" s="49"/>
      <c r="N1170" s="49"/>
      <c r="O1170" s="49"/>
    </row>
    <row r="1171" spans="3:15" ht="19.5" customHeight="1">
      <c r="C1171" s="66"/>
      <c r="D1171" s="64"/>
      <c r="E1171" s="61"/>
      <c r="F1171" s="62"/>
      <c r="G1171" s="61"/>
      <c r="H1171" s="68"/>
      <c r="I1171" s="49"/>
      <c r="J1171" s="49"/>
      <c r="K1171" s="49"/>
      <c r="L1171" s="49"/>
      <c r="M1171" s="49"/>
      <c r="N1171" s="49"/>
      <c r="O1171" s="49"/>
    </row>
    <row r="1172" spans="3:15" ht="19.5" customHeight="1">
      <c r="C1172" s="66"/>
      <c r="D1172" s="64"/>
      <c r="E1172" s="61"/>
      <c r="F1172" s="62"/>
      <c r="G1172" s="61"/>
      <c r="H1172" s="68"/>
      <c r="I1172" s="49"/>
      <c r="J1172" s="49"/>
      <c r="K1172" s="49"/>
      <c r="L1172" s="49"/>
      <c r="M1172" s="49"/>
      <c r="N1172" s="49"/>
      <c r="O1172" s="49"/>
    </row>
    <row r="1173" spans="3:15" ht="19.5" customHeight="1">
      <c r="C1173" s="66"/>
      <c r="D1173" s="64"/>
      <c r="E1173" s="61"/>
      <c r="F1173" s="62"/>
      <c r="G1173" s="61"/>
      <c r="H1173" s="68"/>
      <c r="I1173" s="49"/>
      <c r="J1173" s="49"/>
      <c r="K1173" s="49"/>
      <c r="L1173" s="49"/>
      <c r="M1173" s="49"/>
      <c r="N1173" s="49"/>
      <c r="O1173" s="49"/>
    </row>
    <row r="1174" spans="3:15" ht="19.5" customHeight="1">
      <c r="C1174" s="66"/>
      <c r="D1174" s="64"/>
      <c r="E1174" s="61"/>
      <c r="F1174" s="62"/>
      <c r="G1174" s="61"/>
      <c r="H1174" s="68"/>
      <c r="I1174" s="49"/>
      <c r="J1174" s="49"/>
      <c r="K1174" s="49"/>
      <c r="L1174" s="49"/>
      <c r="M1174" s="49"/>
      <c r="N1174" s="49"/>
      <c r="O1174" s="49"/>
    </row>
    <row r="1175" spans="3:15" ht="19.5" customHeight="1">
      <c r="C1175" s="66"/>
      <c r="D1175" s="64"/>
      <c r="E1175" s="61"/>
      <c r="F1175" s="62"/>
      <c r="G1175" s="61"/>
      <c r="H1175" s="68"/>
      <c r="I1175" s="49"/>
      <c r="J1175" s="49"/>
      <c r="K1175" s="49"/>
      <c r="L1175" s="49"/>
      <c r="M1175" s="49"/>
      <c r="N1175" s="49"/>
      <c r="O1175" s="49"/>
    </row>
    <row r="1176" spans="3:15" ht="19.5" customHeight="1">
      <c r="C1176" s="66"/>
      <c r="D1176" s="64"/>
      <c r="E1176" s="61"/>
      <c r="F1176" s="62"/>
      <c r="G1176" s="61"/>
      <c r="H1176" s="68"/>
      <c r="I1176" s="49"/>
      <c r="J1176" s="49"/>
      <c r="K1176" s="49"/>
      <c r="L1176" s="49"/>
      <c r="M1176" s="49"/>
      <c r="N1176" s="49"/>
      <c r="O1176" s="49"/>
    </row>
    <row r="1177" spans="3:15" ht="19.5" customHeight="1">
      <c r="C1177" s="66"/>
      <c r="D1177" s="64"/>
      <c r="E1177" s="61"/>
      <c r="F1177" s="62"/>
      <c r="G1177" s="61"/>
      <c r="H1177" s="68"/>
      <c r="I1177" s="49"/>
      <c r="J1177" s="49"/>
      <c r="K1177" s="49"/>
      <c r="L1177" s="49"/>
      <c r="M1177" s="49"/>
      <c r="N1177" s="49"/>
      <c r="O1177" s="49"/>
    </row>
    <row r="1178" spans="3:15" ht="19.5" customHeight="1">
      <c r="C1178" s="66"/>
      <c r="D1178" s="64"/>
      <c r="E1178" s="61"/>
      <c r="F1178" s="62"/>
      <c r="G1178" s="61"/>
      <c r="H1178" s="68"/>
      <c r="I1178" s="49"/>
      <c r="J1178" s="49"/>
      <c r="K1178" s="49"/>
      <c r="L1178" s="49"/>
      <c r="M1178" s="49"/>
      <c r="N1178" s="49"/>
      <c r="O1178" s="49"/>
    </row>
    <row r="1179" spans="3:15" ht="19.5" customHeight="1">
      <c r="C1179" s="66"/>
      <c r="D1179" s="64"/>
      <c r="E1179" s="61"/>
      <c r="F1179" s="62"/>
      <c r="G1179" s="61"/>
      <c r="H1179" s="68"/>
      <c r="I1179" s="49"/>
      <c r="J1179" s="49"/>
      <c r="K1179" s="49"/>
      <c r="L1179" s="49"/>
      <c r="M1179" s="49"/>
      <c r="N1179" s="49"/>
      <c r="O1179" s="49"/>
    </row>
    <row r="1180" spans="3:15" ht="19.5" customHeight="1">
      <c r="C1180" s="66"/>
      <c r="D1180" s="64"/>
      <c r="E1180" s="61"/>
      <c r="F1180" s="62"/>
      <c r="G1180" s="61"/>
      <c r="H1180" s="68"/>
      <c r="I1180" s="49"/>
      <c r="J1180" s="49"/>
      <c r="K1180" s="49"/>
      <c r="L1180" s="49"/>
      <c r="M1180" s="49"/>
      <c r="N1180" s="49"/>
      <c r="O1180" s="49"/>
    </row>
    <row r="1181" spans="3:15" ht="19.5" customHeight="1">
      <c r="C1181" s="66"/>
      <c r="D1181" s="64"/>
      <c r="E1181" s="61"/>
      <c r="F1181" s="62"/>
      <c r="G1181" s="61"/>
      <c r="H1181" s="68"/>
      <c r="I1181" s="49"/>
      <c r="J1181" s="49"/>
      <c r="K1181" s="49"/>
      <c r="L1181" s="49"/>
      <c r="M1181" s="49"/>
      <c r="N1181" s="49"/>
      <c r="O1181" s="49"/>
    </row>
    <row r="1182" spans="3:15" ht="19.5" customHeight="1">
      <c r="C1182" s="66"/>
      <c r="D1182" s="64"/>
      <c r="E1182" s="61"/>
      <c r="F1182" s="62"/>
      <c r="G1182" s="61"/>
      <c r="H1182" s="68"/>
      <c r="I1182" s="49"/>
      <c r="J1182" s="49"/>
      <c r="K1182" s="49"/>
      <c r="L1182" s="49"/>
      <c r="M1182" s="49"/>
      <c r="N1182" s="49"/>
      <c r="O1182" s="49"/>
    </row>
    <row r="1183" spans="3:15" ht="19.5" customHeight="1">
      <c r="C1183" s="66"/>
      <c r="D1183" s="64"/>
      <c r="E1183" s="61"/>
      <c r="F1183" s="62"/>
      <c r="G1183" s="61"/>
      <c r="H1183" s="68"/>
      <c r="I1183" s="49"/>
      <c r="J1183" s="49"/>
      <c r="K1183" s="49"/>
      <c r="L1183" s="49"/>
      <c r="M1183" s="49"/>
      <c r="N1183" s="49"/>
      <c r="O1183" s="49"/>
    </row>
    <row r="1184" spans="3:15" ht="19.5" customHeight="1">
      <c r="C1184" s="66"/>
      <c r="D1184" s="64"/>
      <c r="E1184" s="61"/>
      <c r="F1184" s="62"/>
      <c r="G1184" s="61"/>
      <c r="H1184" s="68"/>
      <c r="I1184" s="49"/>
      <c r="J1184" s="49"/>
      <c r="K1184" s="49"/>
      <c r="L1184" s="49"/>
      <c r="M1184" s="49"/>
      <c r="N1184" s="49"/>
      <c r="O1184" s="49"/>
    </row>
    <row r="1185" spans="3:15" ht="19.5" customHeight="1">
      <c r="C1185" s="66"/>
      <c r="D1185" s="64"/>
      <c r="E1185" s="61"/>
      <c r="F1185" s="62"/>
      <c r="G1185" s="61"/>
      <c r="H1185" s="68"/>
      <c r="I1185" s="49"/>
      <c r="J1185" s="49"/>
      <c r="K1185" s="49"/>
      <c r="L1185" s="49"/>
      <c r="M1185" s="49"/>
      <c r="N1185" s="49"/>
      <c r="O1185" s="49"/>
    </row>
    <row r="1186" spans="3:15" ht="19.5" customHeight="1">
      <c r="C1186" s="66"/>
      <c r="D1186" s="64"/>
      <c r="E1186" s="61"/>
      <c r="F1186" s="62"/>
      <c r="G1186" s="61"/>
      <c r="H1186" s="68"/>
      <c r="I1186" s="49"/>
      <c r="J1186" s="49"/>
      <c r="K1186" s="49"/>
      <c r="L1186" s="49"/>
      <c r="M1186" s="49"/>
      <c r="N1186" s="49"/>
      <c r="O1186" s="49"/>
    </row>
    <row r="1187" spans="3:15" ht="19.5" customHeight="1">
      <c r="C1187" s="66"/>
      <c r="D1187" s="64"/>
      <c r="E1187" s="61"/>
      <c r="F1187" s="62"/>
      <c r="G1187" s="61"/>
      <c r="H1187" s="68"/>
      <c r="I1187" s="49"/>
      <c r="J1187" s="49"/>
      <c r="K1187" s="49"/>
      <c r="L1187" s="49"/>
      <c r="M1187" s="49"/>
      <c r="N1187" s="49"/>
      <c r="O1187" s="49"/>
    </row>
    <row r="1188" spans="3:15" ht="19.5" customHeight="1">
      <c r="C1188" s="66"/>
      <c r="D1188" s="64"/>
      <c r="E1188" s="61"/>
      <c r="F1188" s="62"/>
      <c r="G1188" s="61"/>
      <c r="H1188" s="68"/>
      <c r="I1188" s="49"/>
      <c r="J1188" s="49"/>
      <c r="K1188" s="49"/>
      <c r="L1188" s="49"/>
      <c r="M1188" s="49"/>
      <c r="N1188" s="49"/>
      <c r="O1188" s="49"/>
    </row>
    <row r="1189" spans="3:15" ht="19.5" customHeight="1">
      <c r="C1189" s="66"/>
      <c r="D1189" s="64"/>
      <c r="E1189" s="61"/>
      <c r="F1189" s="62"/>
      <c r="G1189" s="61"/>
      <c r="H1189" s="68"/>
      <c r="I1189" s="49"/>
      <c r="J1189" s="49"/>
      <c r="K1189" s="49"/>
      <c r="L1189" s="49"/>
      <c r="M1189" s="49"/>
      <c r="N1189" s="49"/>
      <c r="O1189" s="49"/>
    </row>
    <row r="1190" spans="3:15" ht="19.5" customHeight="1">
      <c r="C1190" s="66"/>
      <c r="D1190" s="64"/>
      <c r="E1190" s="61"/>
      <c r="F1190" s="62"/>
      <c r="G1190" s="61"/>
      <c r="H1190" s="68"/>
      <c r="I1190" s="49"/>
      <c r="J1190" s="49"/>
      <c r="K1190" s="49"/>
      <c r="L1190" s="49"/>
      <c r="M1190" s="49"/>
      <c r="N1190" s="49"/>
      <c r="O1190" s="49"/>
    </row>
    <row r="1191" spans="3:15" ht="19.5" customHeight="1">
      <c r="C1191" s="66"/>
      <c r="D1191" s="64"/>
      <c r="E1191" s="61"/>
      <c r="F1191" s="62"/>
      <c r="G1191" s="61"/>
      <c r="H1191" s="68"/>
      <c r="I1191" s="49"/>
      <c r="J1191" s="49"/>
      <c r="K1191" s="49"/>
      <c r="L1191" s="49"/>
      <c r="M1191" s="49"/>
      <c r="N1191" s="49"/>
      <c r="O1191" s="49"/>
    </row>
    <row r="1192" spans="3:15" ht="19.5" customHeight="1">
      <c r="C1192" s="66"/>
      <c r="D1192" s="64"/>
      <c r="E1192" s="61"/>
      <c r="F1192" s="62"/>
      <c r="G1192" s="61"/>
      <c r="H1192" s="68"/>
      <c r="I1192" s="49"/>
      <c r="J1192" s="49"/>
      <c r="K1192" s="49"/>
      <c r="L1192" s="49"/>
      <c r="M1192" s="49"/>
      <c r="N1192" s="49"/>
      <c r="O1192" s="49"/>
    </row>
    <row r="1193" spans="3:15" ht="19.5" customHeight="1">
      <c r="C1193" s="66"/>
      <c r="D1193" s="64"/>
      <c r="E1193" s="61"/>
      <c r="F1193" s="62"/>
      <c r="G1193" s="61"/>
      <c r="H1193" s="68"/>
      <c r="I1193" s="49"/>
      <c r="J1193" s="49"/>
      <c r="K1193" s="49"/>
      <c r="L1193" s="49"/>
      <c r="M1193" s="49"/>
      <c r="N1193" s="49"/>
      <c r="O1193" s="49"/>
    </row>
    <row r="1194" spans="3:15" ht="19.5" customHeight="1">
      <c r="C1194" s="66"/>
      <c r="D1194" s="64"/>
      <c r="E1194" s="61"/>
      <c r="F1194" s="62"/>
      <c r="G1194" s="61"/>
      <c r="H1194" s="68"/>
      <c r="I1194" s="49"/>
      <c r="J1194" s="49"/>
      <c r="K1194" s="49"/>
      <c r="L1194" s="49"/>
      <c r="M1194" s="49"/>
      <c r="N1194" s="49"/>
      <c r="O1194" s="49"/>
    </row>
    <row r="1195" spans="3:15" ht="19.5" customHeight="1">
      <c r="C1195" s="66"/>
      <c r="D1195" s="64"/>
      <c r="E1195" s="61"/>
      <c r="F1195" s="62"/>
      <c r="G1195" s="61"/>
      <c r="H1195" s="68"/>
      <c r="I1195" s="49"/>
      <c r="J1195" s="49"/>
      <c r="K1195" s="49"/>
      <c r="L1195" s="49"/>
      <c r="M1195" s="49"/>
      <c r="N1195" s="49"/>
      <c r="O1195" s="49"/>
    </row>
    <row r="1196" spans="3:15" ht="19.5" customHeight="1">
      <c r="C1196" s="66"/>
      <c r="D1196" s="64"/>
      <c r="E1196" s="61"/>
      <c r="F1196" s="62"/>
      <c r="G1196" s="61"/>
      <c r="H1196" s="68"/>
      <c r="I1196" s="49"/>
      <c r="J1196" s="49"/>
      <c r="K1196" s="49"/>
      <c r="L1196" s="49"/>
      <c r="M1196" s="49"/>
      <c r="N1196" s="49"/>
      <c r="O1196" s="49"/>
    </row>
    <row r="1197" spans="3:15" ht="19.5" customHeight="1">
      <c r="C1197" s="66"/>
      <c r="D1197" s="64"/>
      <c r="E1197" s="61"/>
      <c r="F1197" s="62"/>
      <c r="G1197" s="61"/>
      <c r="H1197" s="68"/>
      <c r="I1197" s="49"/>
      <c r="J1197" s="49"/>
      <c r="K1197" s="49"/>
      <c r="L1197" s="49"/>
      <c r="M1197" s="49"/>
      <c r="N1197" s="49"/>
      <c r="O1197" s="49"/>
    </row>
    <row r="1198" spans="3:15" ht="19.5" customHeight="1">
      <c r="C1198" s="66"/>
      <c r="D1198" s="64"/>
      <c r="E1198" s="61"/>
      <c r="F1198" s="62"/>
      <c r="G1198" s="61"/>
      <c r="H1198" s="68"/>
      <c r="I1198" s="49"/>
      <c r="J1198" s="49"/>
      <c r="K1198" s="49"/>
      <c r="L1198" s="49"/>
      <c r="M1198" s="49"/>
      <c r="N1198" s="49"/>
      <c r="O1198" s="49"/>
    </row>
    <row r="1199" spans="3:15" ht="19.5" customHeight="1">
      <c r="C1199" s="66"/>
      <c r="D1199" s="64"/>
      <c r="E1199" s="61"/>
      <c r="F1199" s="62"/>
      <c r="G1199" s="61"/>
      <c r="H1199" s="68"/>
      <c r="I1199" s="49"/>
      <c r="J1199" s="49"/>
      <c r="K1199" s="49"/>
      <c r="L1199" s="49"/>
      <c r="M1199" s="49"/>
      <c r="N1199" s="49"/>
      <c r="O1199" s="49"/>
    </row>
    <row r="1200" spans="3:15" ht="19.5" customHeight="1">
      <c r="C1200" s="66"/>
      <c r="D1200" s="64"/>
      <c r="E1200" s="61"/>
      <c r="F1200" s="62"/>
      <c r="G1200" s="61"/>
      <c r="H1200" s="68"/>
      <c r="I1200" s="49"/>
      <c r="J1200" s="49"/>
      <c r="K1200" s="49"/>
      <c r="L1200" s="49"/>
      <c r="M1200" s="49"/>
      <c r="N1200" s="49"/>
      <c r="O1200" s="49"/>
    </row>
    <row r="1201" spans="3:15" ht="19.5" customHeight="1">
      <c r="C1201" s="66"/>
      <c r="D1201" s="64"/>
      <c r="E1201" s="61"/>
      <c r="F1201" s="62"/>
      <c r="G1201" s="61"/>
      <c r="H1201" s="68"/>
      <c r="I1201" s="49"/>
      <c r="J1201" s="49"/>
      <c r="K1201" s="49"/>
      <c r="L1201" s="49"/>
      <c r="M1201" s="49"/>
      <c r="N1201" s="49"/>
      <c r="O1201" s="49"/>
    </row>
    <row r="1202" spans="3:15" ht="19.5" customHeight="1">
      <c r="C1202" s="66"/>
      <c r="D1202" s="64"/>
      <c r="E1202" s="61"/>
      <c r="F1202" s="62"/>
      <c r="G1202" s="61"/>
      <c r="H1202" s="68"/>
      <c r="I1202" s="49"/>
      <c r="J1202" s="49"/>
      <c r="K1202" s="49"/>
      <c r="L1202" s="49"/>
      <c r="M1202" s="49"/>
      <c r="N1202" s="49"/>
      <c r="O1202" s="49"/>
    </row>
    <row r="1203" spans="3:15" ht="19.5" customHeight="1">
      <c r="C1203" s="66"/>
      <c r="D1203" s="64"/>
      <c r="E1203" s="61"/>
      <c r="F1203" s="62"/>
      <c r="G1203" s="61"/>
      <c r="H1203" s="68"/>
      <c r="I1203" s="49"/>
      <c r="J1203" s="49"/>
      <c r="K1203" s="49"/>
      <c r="L1203" s="49"/>
      <c r="M1203" s="49"/>
      <c r="N1203" s="49"/>
      <c r="O1203" s="49"/>
    </row>
    <row r="1204" spans="3:15" ht="19.5" customHeight="1">
      <c r="C1204" s="66"/>
      <c r="D1204" s="64"/>
      <c r="E1204" s="61"/>
      <c r="F1204" s="62"/>
      <c r="G1204" s="61"/>
      <c r="H1204" s="68"/>
      <c r="I1204" s="49"/>
      <c r="J1204" s="49"/>
      <c r="K1204" s="49"/>
      <c r="L1204" s="49"/>
      <c r="M1204" s="49"/>
      <c r="N1204" s="49"/>
      <c r="O1204" s="49"/>
    </row>
    <row r="1205" spans="3:15" ht="19.5" customHeight="1">
      <c r="C1205" s="66"/>
      <c r="D1205" s="64"/>
      <c r="E1205" s="61"/>
      <c r="F1205" s="62"/>
      <c r="G1205" s="61"/>
      <c r="H1205" s="68"/>
      <c r="I1205" s="49"/>
      <c r="J1205" s="49"/>
      <c r="K1205" s="49"/>
      <c r="L1205" s="49"/>
      <c r="M1205" s="49"/>
      <c r="N1205" s="49"/>
      <c r="O1205" s="49"/>
    </row>
    <row r="1206" spans="3:15" ht="19.5" customHeight="1">
      <c r="C1206" s="66"/>
      <c r="D1206" s="64"/>
      <c r="E1206" s="61"/>
      <c r="F1206" s="62"/>
      <c r="G1206" s="61"/>
      <c r="H1206" s="68"/>
      <c r="I1206" s="49"/>
      <c r="J1206" s="49"/>
      <c r="K1206" s="49"/>
      <c r="L1206" s="49"/>
      <c r="M1206" s="49"/>
      <c r="N1206" s="49"/>
      <c r="O1206" s="49"/>
    </row>
    <row r="1207" spans="3:15" ht="19.5" customHeight="1">
      <c r="C1207" s="66"/>
      <c r="D1207" s="64"/>
      <c r="E1207" s="61"/>
      <c r="F1207" s="62"/>
      <c r="G1207" s="61"/>
      <c r="H1207" s="68"/>
      <c r="I1207" s="49"/>
      <c r="J1207" s="49"/>
      <c r="K1207" s="49"/>
      <c r="L1207" s="49"/>
      <c r="M1207" s="49"/>
      <c r="N1207" s="49"/>
      <c r="O1207" s="49"/>
    </row>
    <row r="1208" spans="3:15" ht="19.5" customHeight="1">
      <c r="C1208" s="66"/>
      <c r="D1208" s="64"/>
      <c r="E1208" s="61"/>
      <c r="F1208" s="62"/>
      <c r="G1208" s="61"/>
      <c r="H1208" s="68"/>
      <c r="I1208" s="49"/>
      <c r="J1208" s="49"/>
      <c r="K1208" s="49"/>
      <c r="L1208" s="49"/>
      <c r="M1208" s="49"/>
      <c r="N1208" s="49"/>
      <c r="O1208" s="49"/>
    </row>
    <row r="1209" spans="3:15" ht="19.5" customHeight="1">
      <c r="C1209" s="66"/>
      <c r="D1209" s="64"/>
      <c r="E1209" s="61"/>
      <c r="F1209" s="62"/>
      <c r="G1209" s="61"/>
      <c r="H1209" s="68"/>
      <c r="I1209" s="49"/>
      <c r="J1209" s="49"/>
      <c r="K1209" s="49"/>
      <c r="L1209" s="49"/>
      <c r="M1209" s="49"/>
      <c r="N1209" s="49"/>
      <c r="O1209" s="49"/>
    </row>
    <row r="1210" spans="3:15" ht="19.5" customHeight="1">
      <c r="C1210" s="66"/>
      <c r="D1210" s="64"/>
      <c r="E1210" s="61"/>
      <c r="F1210" s="62"/>
      <c r="G1210" s="61"/>
      <c r="H1210" s="68"/>
      <c r="I1210" s="49"/>
      <c r="J1210" s="49"/>
      <c r="K1210" s="49"/>
      <c r="L1210" s="49"/>
      <c r="M1210" s="49"/>
      <c r="N1210" s="49"/>
      <c r="O1210" s="49"/>
    </row>
    <row r="1211" spans="3:15" ht="19.5" customHeight="1">
      <c r="C1211" s="66"/>
      <c r="D1211" s="64"/>
      <c r="E1211" s="61"/>
      <c r="F1211" s="62"/>
      <c r="G1211" s="61"/>
      <c r="H1211" s="68"/>
      <c r="I1211" s="49"/>
      <c r="J1211" s="49"/>
      <c r="K1211" s="49"/>
      <c r="L1211" s="49"/>
      <c r="M1211" s="49"/>
      <c r="N1211" s="49"/>
      <c r="O1211" s="49"/>
    </row>
    <row r="1212" spans="3:15" ht="19.5" customHeight="1">
      <c r="C1212" s="66"/>
      <c r="D1212" s="64"/>
      <c r="E1212" s="61"/>
      <c r="F1212" s="62"/>
      <c r="G1212" s="61"/>
      <c r="H1212" s="68"/>
      <c r="I1212" s="49"/>
      <c r="J1212" s="49"/>
      <c r="K1212" s="49"/>
      <c r="L1212" s="49"/>
      <c r="M1212" s="49"/>
      <c r="N1212" s="49"/>
      <c r="O1212" s="49"/>
    </row>
    <row r="1213" spans="3:15" ht="19.5" customHeight="1">
      <c r="C1213" s="66"/>
      <c r="D1213" s="64"/>
      <c r="E1213" s="61"/>
      <c r="F1213" s="62"/>
      <c r="G1213" s="61"/>
      <c r="H1213" s="68"/>
      <c r="I1213" s="49"/>
      <c r="J1213" s="49"/>
      <c r="K1213" s="49"/>
      <c r="L1213" s="49"/>
      <c r="M1213" s="49"/>
      <c r="N1213" s="49"/>
      <c r="O1213" s="49"/>
    </row>
    <row r="1214" spans="3:15" ht="19.5" customHeight="1">
      <c r="C1214" s="66"/>
      <c r="D1214" s="64"/>
      <c r="E1214" s="61"/>
      <c r="F1214" s="62"/>
      <c r="G1214" s="61"/>
      <c r="H1214" s="68"/>
      <c r="I1214" s="49"/>
      <c r="J1214" s="49"/>
      <c r="K1214" s="49"/>
      <c r="L1214" s="49"/>
      <c r="M1214" s="49"/>
      <c r="N1214" s="49"/>
      <c r="O1214" s="49"/>
    </row>
    <row r="1215" spans="3:15" ht="19.5" customHeight="1">
      <c r="C1215" s="66"/>
      <c r="D1215" s="64"/>
      <c r="E1215" s="61"/>
      <c r="F1215" s="62"/>
      <c r="G1215" s="61"/>
      <c r="H1215" s="68"/>
      <c r="I1215" s="49"/>
      <c r="J1215" s="49"/>
      <c r="K1215" s="49"/>
      <c r="L1215" s="49"/>
      <c r="M1215" s="49"/>
      <c r="N1215" s="49"/>
      <c r="O1215" s="49"/>
    </row>
    <row r="1216" spans="3:15" ht="19.5" customHeight="1">
      <c r="C1216" s="66"/>
      <c r="D1216" s="64"/>
      <c r="E1216" s="61"/>
      <c r="F1216" s="62"/>
      <c r="G1216" s="61"/>
      <c r="H1216" s="68"/>
      <c r="I1216" s="49"/>
      <c r="J1216" s="49"/>
      <c r="K1216" s="49"/>
      <c r="L1216" s="49"/>
      <c r="M1216" s="49"/>
      <c r="N1216" s="49"/>
      <c r="O1216" s="49"/>
    </row>
    <row r="1217" spans="3:15" ht="19.5" customHeight="1">
      <c r="C1217" s="66"/>
      <c r="D1217" s="64"/>
      <c r="E1217" s="61"/>
      <c r="F1217" s="62"/>
      <c r="G1217" s="61"/>
      <c r="H1217" s="68"/>
      <c r="I1217" s="49"/>
      <c r="J1217" s="49"/>
      <c r="K1217" s="49"/>
      <c r="L1217" s="49"/>
      <c r="M1217" s="49"/>
      <c r="N1217" s="49"/>
      <c r="O1217" s="49"/>
    </row>
    <row r="1218" spans="3:15" ht="19.5" customHeight="1">
      <c r="C1218" s="66"/>
      <c r="D1218" s="64"/>
      <c r="E1218" s="61"/>
      <c r="F1218" s="62"/>
      <c r="G1218" s="61"/>
      <c r="H1218" s="68"/>
      <c r="I1218" s="49"/>
      <c r="J1218" s="49"/>
      <c r="K1218" s="49"/>
      <c r="L1218" s="49"/>
      <c r="M1218" s="49"/>
      <c r="N1218" s="49"/>
      <c r="O1218" s="49"/>
    </row>
    <row r="1219" spans="3:15" ht="19.5" customHeight="1">
      <c r="C1219" s="66"/>
      <c r="D1219" s="64"/>
      <c r="E1219" s="61"/>
      <c r="F1219" s="62"/>
      <c r="G1219" s="61"/>
      <c r="H1219" s="68"/>
      <c r="I1219" s="49"/>
      <c r="J1219" s="49"/>
      <c r="K1219" s="49"/>
      <c r="L1219" s="49"/>
      <c r="M1219" s="49"/>
      <c r="N1219" s="49"/>
      <c r="O1219" s="49"/>
    </row>
    <row r="1220" spans="3:15" ht="19.5" customHeight="1">
      <c r="C1220" s="66"/>
      <c r="D1220" s="64"/>
      <c r="E1220" s="61"/>
      <c r="F1220" s="62"/>
      <c r="G1220" s="61"/>
      <c r="H1220" s="68"/>
      <c r="I1220" s="49"/>
      <c r="J1220" s="49"/>
      <c r="K1220" s="49"/>
      <c r="L1220" s="49"/>
      <c r="M1220" s="49"/>
      <c r="N1220" s="49"/>
      <c r="O1220" s="49"/>
    </row>
    <row r="1221" spans="3:15" ht="19.5" customHeight="1">
      <c r="C1221" s="66"/>
      <c r="D1221" s="64"/>
      <c r="E1221" s="61"/>
      <c r="F1221" s="62"/>
      <c r="G1221" s="61"/>
      <c r="H1221" s="68"/>
      <c r="I1221" s="49"/>
      <c r="J1221" s="49"/>
      <c r="K1221" s="49"/>
      <c r="L1221" s="49"/>
      <c r="M1221" s="49"/>
      <c r="N1221" s="49"/>
      <c r="O1221" s="49"/>
    </row>
    <row r="1222" spans="3:15" ht="19.5" customHeight="1">
      <c r="C1222" s="66"/>
      <c r="D1222" s="64"/>
      <c r="E1222" s="61"/>
      <c r="F1222" s="62"/>
      <c r="G1222" s="61"/>
      <c r="H1222" s="68"/>
      <c r="I1222" s="49"/>
      <c r="J1222" s="49"/>
      <c r="K1222" s="49"/>
      <c r="L1222" s="49"/>
      <c r="M1222" s="49"/>
      <c r="N1222" s="49"/>
      <c r="O1222" s="49"/>
    </row>
    <row r="1223" spans="3:15" ht="19.5" customHeight="1">
      <c r="C1223" s="66"/>
      <c r="D1223" s="64"/>
      <c r="E1223" s="61"/>
      <c r="F1223" s="62"/>
      <c r="G1223" s="61"/>
      <c r="H1223" s="68"/>
      <c r="I1223" s="49"/>
      <c r="J1223" s="49"/>
      <c r="K1223" s="49"/>
      <c r="L1223" s="49"/>
      <c r="M1223" s="49"/>
      <c r="N1223" s="49"/>
      <c r="O1223" s="49"/>
    </row>
    <row r="1224" spans="3:15" ht="19.5" customHeight="1">
      <c r="C1224" s="66"/>
      <c r="D1224" s="64"/>
      <c r="E1224" s="61"/>
      <c r="F1224" s="62"/>
      <c r="G1224" s="61"/>
      <c r="H1224" s="68"/>
      <c r="I1224" s="49"/>
      <c r="J1224" s="49"/>
      <c r="K1224" s="49"/>
      <c r="L1224" s="49"/>
      <c r="M1224" s="49"/>
      <c r="N1224" s="49"/>
      <c r="O1224" s="49"/>
    </row>
    <row r="1225" spans="3:15" ht="19.5" customHeight="1">
      <c r="C1225" s="66"/>
      <c r="D1225" s="64"/>
      <c r="E1225" s="61"/>
      <c r="F1225" s="62"/>
      <c r="G1225" s="61"/>
      <c r="H1225" s="68"/>
      <c r="I1225" s="49"/>
      <c r="J1225" s="49"/>
      <c r="K1225" s="49"/>
      <c r="L1225" s="49"/>
      <c r="M1225" s="49"/>
      <c r="N1225" s="49"/>
      <c r="O1225" s="49"/>
    </row>
    <row r="1226" spans="3:15" ht="19.5" customHeight="1">
      <c r="C1226" s="66"/>
      <c r="D1226" s="64"/>
      <c r="E1226" s="61"/>
      <c r="F1226" s="62"/>
      <c r="G1226" s="61"/>
      <c r="H1226" s="68"/>
      <c r="I1226" s="49"/>
      <c r="J1226" s="49"/>
      <c r="K1226" s="49"/>
      <c r="L1226" s="49"/>
      <c r="M1226" s="49"/>
      <c r="N1226" s="49"/>
      <c r="O1226" s="49"/>
    </row>
    <row r="1227" spans="3:15" ht="19.5" customHeight="1">
      <c r="C1227" s="66"/>
      <c r="D1227" s="64"/>
      <c r="E1227" s="61"/>
      <c r="F1227" s="62"/>
      <c r="G1227" s="61"/>
      <c r="H1227" s="68"/>
      <c r="I1227" s="49"/>
      <c r="J1227" s="49"/>
      <c r="K1227" s="49"/>
      <c r="L1227" s="49"/>
      <c r="M1227" s="49"/>
      <c r="N1227" s="49"/>
      <c r="O1227" s="49"/>
    </row>
    <row r="1228" spans="3:15" ht="19.5" customHeight="1">
      <c r="C1228" s="66"/>
      <c r="D1228" s="64"/>
      <c r="E1228" s="61"/>
      <c r="F1228" s="62"/>
      <c r="G1228" s="61"/>
      <c r="H1228" s="68"/>
      <c r="I1228" s="49"/>
      <c r="J1228" s="49"/>
      <c r="K1228" s="49"/>
      <c r="L1228" s="49"/>
      <c r="M1228" s="49"/>
      <c r="N1228" s="49"/>
      <c r="O1228" s="49"/>
    </row>
    <row r="1229" spans="3:15" ht="19.5" customHeight="1">
      <c r="C1229" s="66"/>
      <c r="D1229" s="64"/>
      <c r="E1229" s="61"/>
      <c r="F1229" s="62"/>
      <c r="G1229" s="61"/>
      <c r="H1229" s="68"/>
      <c r="I1229" s="49"/>
      <c r="J1229" s="49"/>
      <c r="K1229" s="49"/>
      <c r="L1229" s="49"/>
      <c r="M1229" s="49"/>
      <c r="N1229" s="49"/>
      <c r="O1229" s="49"/>
    </row>
    <row r="1230" spans="3:15" ht="19.5" customHeight="1">
      <c r="C1230" s="66"/>
      <c r="D1230" s="64"/>
      <c r="E1230" s="61"/>
      <c r="F1230" s="62"/>
      <c r="G1230" s="61"/>
      <c r="H1230" s="68"/>
      <c r="I1230" s="49"/>
      <c r="J1230" s="49"/>
      <c r="K1230" s="49"/>
      <c r="L1230" s="49"/>
      <c r="M1230" s="49"/>
      <c r="N1230" s="49"/>
      <c r="O1230" s="49"/>
    </row>
    <row r="1231" spans="3:15" ht="19.5" customHeight="1">
      <c r="C1231" s="66"/>
      <c r="D1231" s="64"/>
      <c r="E1231" s="61"/>
      <c r="F1231" s="62"/>
      <c r="G1231" s="61"/>
      <c r="H1231" s="68"/>
      <c r="I1231" s="49"/>
      <c r="J1231" s="49"/>
      <c r="K1231" s="49"/>
      <c r="L1231" s="49"/>
      <c r="M1231" s="49"/>
      <c r="N1231" s="49"/>
      <c r="O1231" s="49"/>
    </row>
    <row r="1232" spans="3:15" ht="19.5" customHeight="1">
      <c r="C1232" s="66"/>
      <c r="D1232" s="64"/>
      <c r="E1232" s="61"/>
      <c r="F1232" s="62"/>
      <c r="G1232" s="61"/>
      <c r="H1232" s="68"/>
      <c r="I1232" s="49"/>
      <c r="J1232" s="49"/>
      <c r="K1232" s="49"/>
      <c r="L1232" s="49"/>
      <c r="M1232" s="49"/>
      <c r="N1232" s="49"/>
      <c r="O1232" s="49"/>
    </row>
    <row r="1233" spans="3:15" ht="19.5" customHeight="1">
      <c r="C1233" s="66"/>
      <c r="D1233" s="64"/>
      <c r="E1233" s="61"/>
      <c r="F1233" s="62"/>
      <c r="G1233" s="61"/>
      <c r="H1233" s="68"/>
      <c r="I1233" s="49"/>
      <c r="J1233" s="49"/>
      <c r="K1233" s="49"/>
      <c r="L1233" s="49"/>
      <c r="M1233" s="49"/>
      <c r="N1233" s="49"/>
      <c r="O1233" s="49"/>
    </row>
    <row r="1234" spans="3:15" ht="19.5" customHeight="1">
      <c r="C1234" s="66"/>
      <c r="D1234" s="64"/>
      <c r="E1234" s="61"/>
      <c r="F1234" s="62"/>
      <c r="G1234" s="61"/>
      <c r="H1234" s="68"/>
      <c r="I1234" s="49"/>
      <c r="J1234" s="49"/>
      <c r="K1234" s="49"/>
      <c r="L1234" s="49"/>
      <c r="M1234" s="49"/>
      <c r="N1234" s="49"/>
      <c r="O1234" s="49"/>
    </row>
    <row r="1235" spans="3:15" ht="19.5" customHeight="1">
      <c r="C1235" s="66"/>
      <c r="D1235" s="64"/>
      <c r="E1235" s="61"/>
      <c r="F1235" s="62"/>
      <c r="G1235" s="61"/>
      <c r="H1235" s="68"/>
      <c r="I1235" s="49"/>
      <c r="J1235" s="49"/>
      <c r="K1235" s="49"/>
      <c r="L1235" s="49"/>
      <c r="M1235" s="49"/>
      <c r="N1235" s="49"/>
      <c r="O1235" s="49"/>
    </row>
    <row r="1236" spans="3:15" ht="19.5" customHeight="1">
      <c r="C1236" s="66"/>
      <c r="D1236" s="64"/>
      <c r="E1236" s="61"/>
      <c r="F1236" s="62"/>
      <c r="G1236" s="61"/>
      <c r="H1236" s="68"/>
      <c r="I1236" s="49"/>
      <c r="J1236" s="49"/>
      <c r="K1236" s="49"/>
      <c r="L1236" s="49"/>
      <c r="M1236" s="49"/>
      <c r="N1236" s="49"/>
      <c r="O1236" s="49"/>
    </row>
    <row r="1237" spans="3:15" ht="19.5" customHeight="1">
      <c r="C1237" s="66"/>
      <c r="D1237" s="64"/>
      <c r="E1237" s="61"/>
      <c r="F1237" s="62"/>
      <c r="G1237" s="61"/>
      <c r="H1237" s="68"/>
      <c r="I1237" s="49"/>
      <c r="J1237" s="49"/>
      <c r="K1237" s="49"/>
      <c r="L1237" s="49"/>
      <c r="M1237" s="49"/>
      <c r="N1237" s="49"/>
      <c r="O1237" s="49"/>
    </row>
    <row r="1238" spans="3:15" ht="19.5" customHeight="1">
      <c r="C1238" s="66"/>
      <c r="D1238" s="64"/>
      <c r="E1238" s="61"/>
      <c r="F1238" s="62"/>
      <c r="G1238" s="61"/>
      <c r="H1238" s="68"/>
      <c r="I1238" s="49"/>
      <c r="J1238" s="49"/>
      <c r="K1238" s="49"/>
      <c r="L1238" s="49"/>
      <c r="M1238" s="49"/>
      <c r="N1238" s="49"/>
      <c r="O1238" s="49"/>
    </row>
    <row r="1239" spans="3:15" ht="19.5" customHeight="1">
      <c r="C1239" s="66"/>
      <c r="D1239" s="64"/>
      <c r="E1239" s="61"/>
      <c r="F1239" s="62"/>
      <c r="G1239" s="61"/>
      <c r="H1239" s="68"/>
      <c r="I1239" s="49"/>
      <c r="J1239" s="49"/>
      <c r="K1239" s="49"/>
      <c r="L1239" s="49"/>
      <c r="M1239" s="49"/>
      <c r="N1239" s="49"/>
      <c r="O1239" s="49"/>
    </row>
    <row r="1240" spans="3:15" ht="19.5" customHeight="1">
      <c r="C1240" s="66"/>
      <c r="D1240" s="64"/>
      <c r="E1240" s="61"/>
      <c r="F1240" s="62"/>
      <c r="G1240" s="61"/>
      <c r="H1240" s="68"/>
      <c r="I1240" s="49"/>
      <c r="J1240" s="49"/>
      <c r="K1240" s="49"/>
      <c r="L1240" s="49"/>
      <c r="M1240" s="49"/>
      <c r="N1240" s="49"/>
      <c r="O1240" s="49"/>
    </row>
    <row r="1241" spans="3:15" ht="19.5" customHeight="1">
      <c r="C1241" s="66"/>
      <c r="D1241" s="64"/>
      <c r="E1241" s="61"/>
      <c r="F1241" s="62"/>
      <c r="G1241" s="61"/>
      <c r="H1241" s="68"/>
      <c r="I1241" s="49"/>
      <c r="J1241" s="49"/>
      <c r="K1241" s="49"/>
      <c r="L1241" s="49"/>
      <c r="M1241" s="49"/>
      <c r="N1241" s="49"/>
      <c r="O1241" s="49"/>
    </row>
    <row r="1242" spans="3:15" ht="19.5" customHeight="1">
      <c r="C1242" s="66"/>
      <c r="D1242" s="64"/>
      <c r="E1242" s="61"/>
      <c r="F1242" s="62"/>
      <c r="G1242" s="61"/>
      <c r="H1242" s="68"/>
      <c r="I1242" s="49"/>
      <c r="J1242" s="49"/>
      <c r="K1242" s="49"/>
      <c r="L1242" s="49"/>
      <c r="M1242" s="49"/>
      <c r="N1242" s="49"/>
      <c r="O1242" s="49"/>
    </row>
    <row r="1243" spans="3:15" ht="19.5" customHeight="1">
      <c r="C1243" s="66"/>
      <c r="D1243" s="64"/>
      <c r="E1243" s="61"/>
      <c r="F1243" s="62"/>
      <c r="G1243" s="61"/>
      <c r="H1243" s="68"/>
      <c r="I1243" s="49"/>
      <c r="J1243" s="49"/>
      <c r="K1243" s="49"/>
      <c r="L1243" s="49"/>
      <c r="M1243" s="49"/>
      <c r="N1243" s="49"/>
      <c r="O1243" s="49"/>
    </row>
    <row r="1244" spans="3:15" ht="19.5" customHeight="1">
      <c r="C1244" s="66"/>
      <c r="D1244" s="64"/>
      <c r="E1244" s="61"/>
      <c r="F1244" s="62"/>
      <c r="G1244" s="61"/>
      <c r="H1244" s="68"/>
      <c r="I1244" s="49"/>
      <c r="J1244" s="49"/>
      <c r="K1244" s="49"/>
      <c r="L1244" s="49"/>
      <c r="M1244" s="49"/>
      <c r="N1244" s="49"/>
      <c r="O1244" s="49"/>
    </row>
    <row r="1245" spans="3:15" ht="19.5" customHeight="1">
      <c r="C1245" s="66"/>
      <c r="D1245" s="64"/>
      <c r="E1245" s="61"/>
      <c r="F1245" s="62"/>
      <c r="G1245" s="61"/>
      <c r="H1245" s="68"/>
      <c r="I1245" s="49"/>
      <c r="J1245" s="49"/>
      <c r="K1245" s="49"/>
      <c r="L1245" s="49"/>
      <c r="M1245" s="49"/>
      <c r="N1245" s="49"/>
      <c r="O1245" s="49"/>
    </row>
    <row r="1246" spans="3:15" ht="19.5" customHeight="1">
      <c r="C1246" s="66"/>
      <c r="D1246" s="64"/>
      <c r="E1246" s="61"/>
      <c r="F1246" s="62"/>
      <c r="G1246" s="61"/>
      <c r="H1246" s="68"/>
      <c r="I1246" s="49"/>
      <c r="J1246" s="49"/>
      <c r="K1246" s="49"/>
      <c r="L1246" s="49"/>
      <c r="M1246" s="49"/>
      <c r="N1246" s="49"/>
      <c r="O1246" s="49"/>
    </row>
    <row r="1247" spans="3:15" ht="19.5" customHeight="1">
      <c r="C1247" s="66"/>
      <c r="D1247" s="64"/>
      <c r="E1247" s="61"/>
      <c r="F1247" s="62"/>
      <c r="G1247" s="61"/>
      <c r="H1247" s="68"/>
      <c r="I1247" s="49"/>
      <c r="J1247" s="49"/>
      <c r="K1247" s="49"/>
      <c r="L1247" s="49"/>
      <c r="M1247" s="49"/>
      <c r="N1247" s="49"/>
      <c r="O1247" s="49"/>
    </row>
    <row r="1248" spans="3:15" ht="19.5" customHeight="1">
      <c r="C1248" s="66"/>
      <c r="D1248" s="64"/>
      <c r="E1248" s="61"/>
      <c r="F1248" s="62"/>
      <c r="G1248" s="61"/>
      <c r="H1248" s="68"/>
      <c r="I1248" s="49"/>
      <c r="J1248" s="49"/>
      <c r="K1248" s="49"/>
      <c r="L1248" s="49"/>
      <c r="M1248" s="49"/>
      <c r="N1248" s="49"/>
      <c r="O1248" s="49"/>
    </row>
    <row r="1249" spans="3:15" ht="19.5" customHeight="1">
      <c r="C1249" s="66"/>
      <c r="D1249" s="64"/>
      <c r="E1249" s="61"/>
      <c r="F1249" s="62"/>
      <c r="G1249" s="61"/>
      <c r="H1249" s="68"/>
      <c r="I1249" s="49"/>
      <c r="J1249" s="49"/>
      <c r="K1249" s="49"/>
      <c r="L1249" s="49"/>
      <c r="M1249" s="49"/>
      <c r="N1249" s="49"/>
      <c r="O1249" s="49"/>
    </row>
    <row r="1250" spans="3:15" ht="19.5" customHeight="1">
      <c r="C1250" s="66"/>
      <c r="D1250" s="64"/>
      <c r="E1250" s="61"/>
      <c r="F1250" s="62"/>
      <c r="G1250" s="61"/>
      <c r="H1250" s="68"/>
      <c r="I1250" s="49"/>
      <c r="J1250" s="49"/>
      <c r="K1250" s="49"/>
      <c r="L1250" s="49"/>
      <c r="M1250" s="49"/>
      <c r="N1250" s="49"/>
      <c r="O1250" s="49"/>
    </row>
    <row r="1251" spans="3:15" ht="19.5" customHeight="1">
      <c r="C1251" s="66"/>
      <c r="D1251" s="64"/>
      <c r="E1251" s="61"/>
      <c r="F1251" s="62"/>
      <c r="G1251" s="61"/>
      <c r="H1251" s="68"/>
      <c r="I1251" s="49"/>
      <c r="J1251" s="49"/>
      <c r="K1251" s="49"/>
      <c r="L1251" s="49"/>
      <c r="M1251" s="49"/>
      <c r="N1251" s="49"/>
      <c r="O1251" s="49"/>
    </row>
    <row r="1252" spans="3:15" ht="19.5" customHeight="1">
      <c r="C1252" s="66"/>
      <c r="D1252" s="64"/>
      <c r="E1252" s="61"/>
      <c r="F1252" s="62"/>
      <c r="G1252" s="61"/>
      <c r="H1252" s="68"/>
      <c r="I1252" s="49"/>
      <c r="J1252" s="49"/>
      <c r="K1252" s="49"/>
      <c r="L1252" s="49"/>
      <c r="M1252" s="49"/>
      <c r="N1252" s="49"/>
      <c r="O1252" s="49"/>
    </row>
    <row r="1253" spans="3:15" ht="19.5" customHeight="1">
      <c r="C1253" s="66"/>
      <c r="D1253" s="64"/>
      <c r="E1253" s="61"/>
      <c r="F1253" s="62"/>
      <c r="G1253" s="61"/>
      <c r="H1253" s="68"/>
      <c r="I1253" s="49"/>
      <c r="J1253" s="49"/>
      <c r="K1253" s="49"/>
      <c r="L1253" s="49"/>
      <c r="M1253" s="49"/>
      <c r="N1253" s="49"/>
      <c r="O1253" s="49"/>
    </row>
    <row r="1254" spans="3:15" ht="19.5" customHeight="1">
      <c r="C1254" s="66"/>
      <c r="D1254" s="64"/>
      <c r="E1254" s="61"/>
      <c r="F1254" s="62"/>
      <c r="G1254" s="61"/>
      <c r="H1254" s="68"/>
      <c r="I1254" s="49"/>
      <c r="J1254" s="49"/>
      <c r="K1254" s="49"/>
      <c r="L1254" s="49"/>
      <c r="M1254" s="49"/>
      <c r="N1254" s="49"/>
      <c r="O1254" s="49"/>
    </row>
    <row r="1255" spans="3:15" ht="19.5" customHeight="1">
      <c r="C1255" s="66"/>
      <c r="D1255" s="64"/>
      <c r="E1255" s="61"/>
      <c r="F1255" s="62"/>
      <c r="G1255" s="61"/>
      <c r="H1255" s="68"/>
      <c r="I1255" s="49"/>
      <c r="J1255" s="49"/>
      <c r="K1255" s="49"/>
      <c r="L1255" s="49"/>
      <c r="M1255" s="49"/>
      <c r="N1255" s="49"/>
      <c r="O1255" s="49"/>
    </row>
    <row r="1256" spans="3:15" ht="19.5" customHeight="1">
      <c r="C1256" s="66"/>
      <c r="D1256" s="64"/>
      <c r="E1256" s="61"/>
      <c r="F1256" s="62"/>
      <c r="G1256" s="61"/>
      <c r="H1256" s="68"/>
      <c r="I1256" s="49"/>
      <c r="J1256" s="49"/>
      <c r="K1256" s="49"/>
      <c r="L1256" s="49"/>
      <c r="M1256" s="49"/>
      <c r="N1256" s="49"/>
      <c r="O1256" s="49"/>
    </row>
    <row r="1257" spans="3:15" ht="19.5" customHeight="1">
      <c r="C1257" s="66"/>
      <c r="D1257" s="64"/>
      <c r="E1257" s="61"/>
      <c r="F1257" s="62"/>
      <c r="G1257" s="61"/>
      <c r="H1257" s="68"/>
      <c r="I1257" s="49"/>
      <c r="J1257" s="49"/>
      <c r="K1257" s="49"/>
      <c r="L1257" s="49"/>
      <c r="M1257" s="49"/>
      <c r="N1257" s="49"/>
      <c r="O1257" s="49"/>
    </row>
    <row r="1258" spans="3:15" ht="19.5" customHeight="1">
      <c r="C1258" s="66"/>
      <c r="D1258" s="64"/>
      <c r="E1258" s="61"/>
      <c r="F1258" s="62"/>
      <c r="G1258" s="61"/>
      <c r="H1258" s="68"/>
      <c r="I1258" s="49"/>
      <c r="J1258" s="49"/>
      <c r="K1258" s="49"/>
      <c r="L1258" s="49"/>
      <c r="M1258" s="49"/>
      <c r="N1258" s="49"/>
      <c r="O1258" s="49"/>
    </row>
    <row r="1259" spans="3:15" ht="19.5" customHeight="1">
      <c r="C1259" s="66"/>
      <c r="D1259" s="64"/>
      <c r="E1259" s="61"/>
      <c r="F1259" s="62"/>
      <c r="G1259" s="61"/>
      <c r="H1259" s="68"/>
      <c r="I1259" s="49"/>
      <c r="J1259" s="49"/>
      <c r="K1259" s="49"/>
      <c r="L1259" s="49"/>
      <c r="M1259" s="49"/>
      <c r="N1259" s="49"/>
      <c r="O1259" s="49"/>
    </row>
    <row r="1260" spans="3:15" ht="19.5" customHeight="1">
      <c r="C1260" s="66"/>
      <c r="D1260" s="64"/>
      <c r="E1260" s="61"/>
      <c r="F1260" s="62"/>
      <c r="G1260" s="61"/>
      <c r="H1260" s="68"/>
      <c r="I1260" s="49"/>
      <c r="J1260" s="49"/>
      <c r="K1260" s="49"/>
      <c r="L1260" s="49"/>
      <c r="M1260" s="49"/>
      <c r="N1260" s="49"/>
      <c r="O1260" s="49"/>
    </row>
    <row r="1261" spans="3:15" ht="19.5" customHeight="1">
      <c r="C1261" s="66"/>
      <c r="D1261" s="64"/>
      <c r="E1261" s="61"/>
      <c r="F1261" s="62"/>
      <c r="G1261" s="61"/>
      <c r="H1261" s="68"/>
      <c r="I1261" s="49"/>
      <c r="J1261" s="49"/>
      <c r="K1261" s="49"/>
      <c r="L1261" s="49"/>
      <c r="M1261" s="49"/>
      <c r="N1261" s="49"/>
      <c r="O1261" s="49"/>
    </row>
    <row r="1262" spans="3:15" ht="19.5" customHeight="1">
      <c r="C1262" s="66"/>
      <c r="D1262" s="64"/>
      <c r="E1262" s="61"/>
      <c r="F1262" s="62"/>
      <c r="G1262" s="61"/>
      <c r="H1262" s="68"/>
      <c r="I1262" s="49"/>
      <c r="J1262" s="49"/>
      <c r="K1262" s="49"/>
      <c r="L1262" s="49"/>
      <c r="M1262" s="49"/>
      <c r="N1262" s="49"/>
      <c r="O1262" s="49"/>
    </row>
    <row r="1263" spans="3:15" ht="19.5" customHeight="1">
      <c r="C1263" s="66"/>
      <c r="D1263" s="64"/>
      <c r="E1263" s="61"/>
      <c r="F1263" s="62"/>
      <c r="G1263" s="61"/>
      <c r="H1263" s="68"/>
      <c r="I1263" s="49"/>
      <c r="J1263" s="49"/>
      <c r="K1263" s="49"/>
      <c r="L1263" s="49"/>
      <c r="M1263" s="49"/>
      <c r="N1263" s="49"/>
      <c r="O1263" s="49"/>
    </row>
    <row r="1264" spans="3:15" ht="19.5" customHeight="1">
      <c r="C1264" s="66"/>
      <c r="D1264" s="64"/>
      <c r="E1264" s="61"/>
      <c r="F1264" s="62"/>
      <c r="G1264" s="61"/>
      <c r="H1264" s="68"/>
      <c r="I1264" s="49"/>
      <c r="J1264" s="49"/>
      <c r="K1264" s="49"/>
      <c r="L1264" s="49"/>
      <c r="M1264" s="49"/>
      <c r="N1264" s="49"/>
      <c r="O1264" s="49"/>
    </row>
    <row r="1265" spans="3:15" ht="19.5" customHeight="1">
      <c r="C1265" s="66"/>
      <c r="D1265" s="64"/>
      <c r="E1265" s="61"/>
      <c r="F1265" s="62"/>
      <c r="G1265" s="61"/>
      <c r="H1265" s="68"/>
      <c r="I1265" s="49"/>
      <c r="J1265" s="49"/>
      <c r="K1265" s="49"/>
      <c r="L1265" s="49"/>
      <c r="M1265" s="49"/>
      <c r="N1265" s="49"/>
      <c r="O1265" s="49"/>
    </row>
    <row r="1266" spans="3:15" ht="19.5" customHeight="1">
      <c r="C1266" s="66"/>
      <c r="D1266" s="64"/>
      <c r="E1266" s="61"/>
      <c r="F1266" s="62"/>
      <c r="G1266" s="61"/>
      <c r="H1266" s="68"/>
      <c r="I1266" s="49"/>
      <c r="J1266" s="49"/>
      <c r="K1266" s="49"/>
      <c r="L1266" s="49"/>
      <c r="M1266" s="49"/>
      <c r="N1266" s="49"/>
      <c r="O1266" s="49"/>
    </row>
    <row r="1267" spans="3:15" ht="19.5" customHeight="1">
      <c r="C1267" s="66"/>
      <c r="D1267" s="64"/>
      <c r="E1267" s="61"/>
      <c r="F1267" s="62"/>
      <c r="G1267" s="61"/>
      <c r="H1267" s="68"/>
      <c r="I1267" s="49"/>
      <c r="J1267" s="49"/>
      <c r="K1267" s="49"/>
      <c r="L1267" s="49"/>
      <c r="M1267" s="49"/>
      <c r="N1267" s="49"/>
      <c r="O1267" s="49"/>
    </row>
    <row r="1268" spans="3:15" ht="19.5" customHeight="1">
      <c r="C1268" s="66"/>
      <c r="D1268" s="64"/>
      <c r="E1268" s="61"/>
      <c r="F1268" s="62"/>
      <c r="G1268" s="61"/>
      <c r="H1268" s="68"/>
      <c r="I1268" s="49"/>
      <c r="J1268" s="49"/>
      <c r="K1268" s="49"/>
      <c r="L1268" s="49"/>
      <c r="M1268" s="49"/>
      <c r="N1268" s="49"/>
      <c r="O1268" s="49"/>
    </row>
    <row r="1269" spans="3:15" ht="19.5" customHeight="1">
      <c r="C1269" s="66"/>
      <c r="D1269" s="64"/>
      <c r="E1269" s="61"/>
      <c r="F1269" s="62"/>
      <c r="G1269" s="61"/>
      <c r="H1269" s="68"/>
      <c r="I1269" s="49"/>
      <c r="J1269" s="49"/>
      <c r="K1269" s="49"/>
      <c r="L1269" s="49"/>
      <c r="M1269" s="49"/>
      <c r="N1269" s="49"/>
      <c r="O1269" s="49"/>
    </row>
    <row r="1270" spans="3:15" ht="19.5" customHeight="1">
      <c r="C1270" s="66"/>
      <c r="D1270" s="64"/>
      <c r="E1270" s="61"/>
      <c r="F1270" s="62"/>
      <c r="G1270" s="61"/>
      <c r="H1270" s="68"/>
      <c r="I1270" s="49"/>
      <c r="J1270" s="49"/>
      <c r="K1270" s="49"/>
      <c r="L1270" s="49"/>
      <c r="M1270" s="49"/>
      <c r="N1270" s="49"/>
      <c r="O1270" s="49"/>
    </row>
    <row r="1271" spans="3:15" ht="19.5" customHeight="1">
      <c r="C1271" s="66"/>
      <c r="D1271" s="64"/>
      <c r="E1271" s="61"/>
      <c r="F1271" s="62"/>
      <c r="G1271" s="61"/>
      <c r="H1271" s="68"/>
      <c r="I1271" s="49"/>
      <c r="J1271" s="49"/>
      <c r="K1271" s="49"/>
      <c r="L1271" s="49"/>
      <c r="M1271" s="49"/>
      <c r="N1271" s="49"/>
      <c r="O1271" s="49"/>
    </row>
    <row r="1272" spans="3:15" ht="19.5" customHeight="1">
      <c r="C1272" s="66"/>
      <c r="D1272" s="64"/>
      <c r="E1272" s="61"/>
      <c r="F1272" s="62"/>
      <c r="G1272" s="61"/>
      <c r="H1272" s="68"/>
      <c r="I1272" s="49"/>
      <c r="J1272" s="49"/>
      <c r="K1272" s="49"/>
      <c r="L1272" s="49"/>
      <c r="M1272" s="49"/>
      <c r="N1272" s="49"/>
      <c r="O1272" s="49"/>
    </row>
    <row r="1273" spans="3:15" ht="19.5" customHeight="1">
      <c r="C1273" s="66"/>
      <c r="D1273" s="64"/>
      <c r="E1273" s="61"/>
      <c r="F1273" s="62"/>
      <c r="G1273" s="61"/>
      <c r="H1273" s="68"/>
      <c r="I1273" s="49"/>
      <c r="J1273" s="49"/>
      <c r="K1273" s="49"/>
      <c r="L1273" s="49"/>
      <c r="M1273" s="49"/>
      <c r="N1273" s="49"/>
      <c r="O1273" s="49"/>
    </row>
    <row r="1274" spans="3:15" ht="19.5" customHeight="1">
      <c r="C1274" s="66"/>
      <c r="D1274" s="64"/>
      <c r="E1274" s="61"/>
      <c r="F1274" s="62"/>
      <c r="G1274" s="61"/>
      <c r="H1274" s="68"/>
      <c r="I1274" s="49"/>
      <c r="J1274" s="49"/>
      <c r="K1274" s="49"/>
      <c r="L1274" s="49"/>
      <c r="M1274" s="49"/>
      <c r="N1274" s="49"/>
      <c r="O1274" s="49"/>
    </row>
    <row r="1275" spans="3:15" ht="19.5" customHeight="1">
      <c r="C1275" s="66"/>
      <c r="D1275" s="64"/>
      <c r="E1275" s="61"/>
      <c r="F1275" s="62"/>
      <c r="G1275" s="61"/>
      <c r="H1275" s="68"/>
      <c r="I1275" s="49"/>
      <c r="J1275" s="49"/>
      <c r="K1275" s="49"/>
      <c r="L1275" s="49"/>
      <c r="M1275" s="49"/>
      <c r="N1275" s="49"/>
      <c r="O1275" s="49"/>
    </row>
    <row r="1276" spans="3:15" ht="19.5" customHeight="1">
      <c r="C1276" s="66"/>
      <c r="D1276" s="64"/>
      <c r="E1276" s="61"/>
      <c r="F1276" s="62"/>
      <c r="G1276" s="61"/>
      <c r="H1276" s="68"/>
      <c r="I1276" s="49"/>
      <c r="J1276" s="49"/>
      <c r="K1276" s="49"/>
      <c r="L1276" s="49"/>
      <c r="M1276" s="49"/>
      <c r="N1276" s="49"/>
      <c r="O1276" s="49"/>
    </row>
    <row r="1277" spans="3:15" ht="19.5" customHeight="1">
      <c r="C1277" s="66"/>
      <c r="D1277" s="64"/>
      <c r="E1277" s="61"/>
      <c r="F1277" s="62"/>
      <c r="G1277" s="61"/>
      <c r="H1277" s="68"/>
      <c r="I1277" s="49"/>
      <c r="J1277" s="49"/>
      <c r="K1277" s="49"/>
      <c r="L1277" s="49"/>
      <c r="M1277" s="49"/>
      <c r="N1277" s="49"/>
      <c r="O1277" s="49"/>
    </row>
    <row r="1278" spans="3:15" ht="19.5" customHeight="1">
      <c r="C1278" s="66"/>
      <c r="D1278" s="64"/>
      <c r="E1278" s="61"/>
      <c r="F1278" s="62"/>
      <c r="G1278" s="61"/>
      <c r="H1278" s="68"/>
      <c r="I1278" s="49"/>
      <c r="J1278" s="49"/>
      <c r="K1278" s="49"/>
      <c r="L1278" s="49"/>
      <c r="M1278" s="49"/>
      <c r="N1278" s="49"/>
      <c r="O1278" s="49"/>
    </row>
    <row r="1279" spans="3:15" ht="19.5" customHeight="1">
      <c r="C1279" s="66"/>
      <c r="D1279" s="64"/>
      <c r="E1279" s="61"/>
      <c r="F1279" s="62"/>
      <c r="G1279" s="61"/>
      <c r="H1279" s="68"/>
      <c r="I1279" s="49"/>
      <c r="J1279" s="49"/>
      <c r="K1279" s="49"/>
      <c r="L1279" s="49"/>
      <c r="M1279" s="49"/>
      <c r="N1279" s="49"/>
      <c r="O1279" s="49"/>
    </row>
    <row r="1280" spans="3:15" ht="19.5" customHeight="1">
      <c r="C1280" s="66"/>
      <c r="D1280" s="64"/>
      <c r="E1280" s="61"/>
      <c r="F1280" s="62"/>
      <c r="G1280" s="61"/>
      <c r="H1280" s="68"/>
      <c r="I1280" s="49"/>
      <c r="J1280" s="49"/>
      <c r="K1280" s="49"/>
      <c r="L1280" s="49"/>
      <c r="M1280" s="49"/>
      <c r="N1280" s="49"/>
      <c r="O1280" s="49"/>
    </row>
    <row r="1281" spans="3:15" ht="19.5" customHeight="1">
      <c r="C1281" s="66"/>
      <c r="D1281" s="64"/>
      <c r="E1281" s="61"/>
      <c r="F1281" s="62"/>
      <c r="G1281" s="61"/>
      <c r="H1281" s="68"/>
      <c r="I1281" s="49"/>
      <c r="J1281" s="49"/>
      <c r="K1281" s="49"/>
      <c r="L1281" s="49"/>
      <c r="M1281" s="49"/>
      <c r="N1281" s="49"/>
      <c r="O1281" s="49"/>
    </row>
    <row r="1282" spans="3:15" ht="19.5" customHeight="1">
      <c r="C1282" s="66"/>
      <c r="D1282" s="64"/>
      <c r="E1282" s="61"/>
      <c r="F1282" s="62"/>
      <c r="G1282" s="61"/>
      <c r="H1282" s="68"/>
      <c r="I1282" s="49"/>
      <c r="J1282" s="49"/>
      <c r="K1282" s="49"/>
      <c r="L1282" s="49"/>
      <c r="M1282" s="49"/>
      <c r="N1282" s="49"/>
      <c r="O1282" s="49"/>
    </row>
    <row r="1283" spans="3:15" ht="19.5" customHeight="1">
      <c r="C1283" s="66"/>
      <c r="D1283" s="64"/>
      <c r="E1283" s="61"/>
      <c r="F1283" s="62"/>
      <c r="G1283" s="61"/>
      <c r="H1283" s="68"/>
      <c r="I1283" s="49"/>
      <c r="J1283" s="49"/>
      <c r="K1283" s="49"/>
      <c r="L1283" s="49"/>
      <c r="M1283" s="49"/>
      <c r="N1283" s="49"/>
      <c r="O1283" s="49"/>
    </row>
    <row r="1284" spans="3:15" ht="19.5" customHeight="1">
      <c r="C1284" s="66"/>
      <c r="D1284" s="64"/>
      <c r="E1284" s="61"/>
      <c r="F1284" s="62"/>
      <c r="G1284" s="61"/>
      <c r="H1284" s="68"/>
      <c r="I1284" s="49"/>
      <c r="J1284" s="49"/>
      <c r="K1284" s="49"/>
      <c r="L1284" s="49"/>
      <c r="M1284" s="49"/>
      <c r="N1284" s="49"/>
      <c r="O1284" s="49"/>
    </row>
    <row r="1285" spans="3:15" ht="19.5" customHeight="1">
      <c r="C1285" s="66"/>
      <c r="D1285" s="64"/>
      <c r="E1285" s="61"/>
      <c r="F1285" s="62"/>
      <c r="G1285" s="61"/>
      <c r="H1285" s="68"/>
      <c r="I1285" s="49"/>
      <c r="J1285" s="49"/>
      <c r="K1285" s="49"/>
      <c r="L1285" s="49"/>
      <c r="M1285" s="49"/>
      <c r="N1285" s="49"/>
      <c r="O1285" s="49"/>
    </row>
    <row r="1286" spans="3:15" ht="19.5" customHeight="1">
      <c r="C1286" s="66"/>
      <c r="D1286" s="64"/>
      <c r="E1286" s="61"/>
      <c r="F1286" s="62"/>
      <c r="G1286" s="61"/>
      <c r="H1286" s="68"/>
      <c r="I1286" s="49"/>
      <c r="J1286" s="49"/>
      <c r="K1286" s="49"/>
      <c r="L1286" s="49"/>
      <c r="M1286" s="49"/>
      <c r="N1286" s="49"/>
      <c r="O1286" s="49"/>
    </row>
    <row r="1287" spans="3:15" ht="19.5" customHeight="1">
      <c r="C1287" s="66"/>
      <c r="D1287" s="64"/>
      <c r="E1287" s="61"/>
      <c r="F1287" s="62"/>
      <c r="G1287" s="61"/>
      <c r="H1287" s="68"/>
      <c r="I1287" s="49"/>
      <c r="J1287" s="49"/>
      <c r="K1287" s="49"/>
      <c r="L1287" s="49"/>
      <c r="M1287" s="49"/>
      <c r="N1287" s="49"/>
      <c r="O1287" s="49"/>
    </row>
    <row r="1288" spans="3:15" ht="19.5" customHeight="1">
      <c r="C1288" s="66"/>
      <c r="D1288" s="64"/>
      <c r="E1288" s="61"/>
      <c r="F1288" s="62"/>
      <c r="G1288" s="61"/>
      <c r="H1288" s="68"/>
      <c r="I1288" s="49"/>
      <c r="J1288" s="49"/>
      <c r="K1288" s="49"/>
      <c r="L1288" s="49"/>
      <c r="M1288" s="49"/>
      <c r="N1288" s="49"/>
      <c r="O1288" s="49"/>
    </row>
    <row r="1289" spans="3:15" ht="19.5" customHeight="1">
      <c r="C1289" s="66"/>
      <c r="D1289" s="64"/>
      <c r="E1289" s="61"/>
      <c r="F1289" s="62"/>
      <c r="G1289" s="61"/>
      <c r="H1289" s="68"/>
      <c r="I1289" s="49"/>
      <c r="J1289" s="49"/>
      <c r="K1289" s="49"/>
      <c r="L1289" s="49"/>
      <c r="M1289" s="49"/>
      <c r="N1289" s="49"/>
      <c r="O1289" s="49"/>
    </row>
    <row r="1290" spans="3:15" ht="19.5" customHeight="1">
      <c r="C1290" s="66"/>
      <c r="D1290" s="64"/>
      <c r="E1290" s="61"/>
      <c r="F1290" s="62"/>
      <c r="G1290" s="61"/>
      <c r="H1290" s="68"/>
      <c r="I1290" s="49"/>
      <c r="J1290" s="49"/>
      <c r="K1290" s="49"/>
      <c r="L1290" s="49"/>
      <c r="M1290" s="49"/>
      <c r="N1290" s="49"/>
      <c r="O1290" s="49"/>
    </row>
    <row r="1291" spans="3:15" ht="19.5" customHeight="1">
      <c r="C1291" s="66"/>
      <c r="D1291" s="64"/>
      <c r="E1291" s="61"/>
      <c r="F1291" s="62"/>
      <c r="G1291" s="61"/>
      <c r="H1291" s="68"/>
      <c r="I1291" s="49"/>
      <c r="J1291" s="49"/>
      <c r="K1291" s="49"/>
      <c r="L1291" s="49"/>
      <c r="M1291" s="49"/>
      <c r="N1291" s="49"/>
      <c r="O1291" s="49"/>
    </row>
    <row r="1292" spans="3:15" ht="19.5" customHeight="1">
      <c r="C1292" s="66"/>
      <c r="D1292" s="64"/>
      <c r="E1292" s="61"/>
      <c r="F1292" s="62"/>
      <c r="G1292" s="61"/>
      <c r="H1292" s="68"/>
      <c r="I1292" s="49"/>
      <c r="J1292" s="49"/>
      <c r="K1292" s="49"/>
      <c r="L1292" s="49"/>
      <c r="M1292" s="49"/>
      <c r="N1292" s="49"/>
      <c r="O1292" s="49"/>
    </row>
    <row r="1293" spans="3:15" ht="19.5" customHeight="1">
      <c r="C1293" s="66"/>
      <c r="D1293" s="64"/>
      <c r="E1293" s="61"/>
      <c r="F1293" s="62"/>
      <c r="G1293" s="61"/>
      <c r="H1293" s="68"/>
      <c r="I1293" s="49"/>
      <c r="J1293" s="49"/>
      <c r="K1293" s="49"/>
      <c r="L1293" s="49"/>
      <c r="M1293" s="49"/>
      <c r="N1293" s="49"/>
      <c r="O1293" s="49"/>
    </row>
    <row r="1294" spans="3:15" ht="19.5" customHeight="1">
      <c r="C1294" s="66"/>
      <c r="D1294" s="64"/>
      <c r="E1294" s="61"/>
      <c r="F1294" s="62"/>
      <c r="G1294" s="61"/>
      <c r="H1294" s="68"/>
      <c r="I1294" s="49"/>
      <c r="J1294" s="49"/>
      <c r="K1294" s="49"/>
      <c r="L1294" s="49"/>
      <c r="M1294" s="49"/>
      <c r="N1294" s="49"/>
      <c r="O1294" s="49"/>
    </row>
    <row r="1295" spans="3:15" ht="19.5" customHeight="1">
      <c r="C1295" s="66"/>
      <c r="D1295" s="64"/>
      <c r="E1295" s="61"/>
      <c r="F1295" s="62"/>
      <c r="G1295" s="61"/>
      <c r="H1295" s="68"/>
      <c r="I1295" s="49"/>
      <c r="J1295" s="49"/>
      <c r="K1295" s="49"/>
      <c r="L1295" s="49"/>
      <c r="M1295" s="49"/>
      <c r="N1295" s="49"/>
      <c r="O1295" s="49"/>
    </row>
    <row r="1296" spans="3:15" ht="19.5" customHeight="1">
      <c r="C1296" s="66"/>
      <c r="D1296" s="64"/>
      <c r="E1296" s="61"/>
      <c r="F1296" s="62"/>
      <c r="G1296" s="61"/>
      <c r="H1296" s="68"/>
      <c r="I1296" s="49"/>
      <c r="J1296" s="49"/>
      <c r="K1296" s="49"/>
      <c r="L1296" s="49"/>
      <c r="M1296" s="49"/>
      <c r="N1296" s="49"/>
      <c r="O1296" s="49"/>
    </row>
    <row r="1297" spans="3:15" ht="19.5" customHeight="1">
      <c r="C1297" s="66"/>
      <c r="D1297" s="64"/>
      <c r="E1297" s="61"/>
      <c r="F1297" s="62"/>
      <c r="G1297" s="61"/>
      <c r="H1297" s="68"/>
      <c r="I1297" s="49"/>
      <c r="J1297" s="49"/>
      <c r="K1297" s="49"/>
      <c r="L1297" s="49"/>
      <c r="M1297" s="49"/>
      <c r="N1297" s="49"/>
      <c r="O1297" s="49"/>
    </row>
    <row r="1298" spans="3:15" ht="19.5" customHeight="1">
      <c r="C1298" s="66"/>
      <c r="D1298" s="64"/>
      <c r="E1298" s="61"/>
      <c r="F1298" s="62"/>
      <c r="G1298" s="61"/>
      <c r="H1298" s="68"/>
      <c r="I1298" s="49"/>
      <c r="J1298" s="49"/>
      <c r="K1298" s="49"/>
      <c r="L1298" s="49"/>
      <c r="M1298" s="49"/>
      <c r="N1298" s="49"/>
      <c r="O1298" s="49"/>
    </row>
    <row r="1299" spans="3:15" ht="19.5" customHeight="1">
      <c r="C1299" s="66"/>
      <c r="D1299" s="64"/>
      <c r="E1299" s="61"/>
      <c r="F1299" s="62"/>
      <c r="G1299" s="61"/>
      <c r="H1299" s="68"/>
      <c r="I1299" s="49"/>
      <c r="J1299" s="49"/>
      <c r="K1299" s="49"/>
      <c r="L1299" s="49"/>
      <c r="M1299" s="49"/>
      <c r="N1299" s="49"/>
      <c r="O1299" s="49"/>
    </row>
    <row r="1300" spans="3:15" ht="19.5" customHeight="1">
      <c r="C1300" s="66"/>
      <c r="D1300" s="64"/>
      <c r="E1300" s="61"/>
      <c r="F1300" s="62"/>
      <c r="G1300" s="61"/>
      <c r="H1300" s="68"/>
      <c r="I1300" s="49"/>
      <c r="J1300" s="49"/>
      <c r="K1300" s="49"/>
      <c r="L1300" s="49"/>
      <c r="M1300" s="49"/>
      <c r="N1300" s="49"/>
      <c r="O1300" s="49"/>
    </row>
    <row r="1301" spans="3:15" ht="19.5" customHeight="1">
      <c r="C1301" s="66"/>
      <c r="D1301" s="64"/>
      <c r="E1301" s="61"/>
      <c r="F1301" s="62"/>
      <c r="G1301" s="61"/>
      <c r="H1301" s="68"/>
      <c r="I1301" s="49"/>
      <c r="J1301" s="49"/>
      <c r="K1301" s="49"/>
      <c r="L1301" s="49"/>
      <c r="M1301" s="49"/>
      <c r="N1301" s="49"/>
      <c r="O1301" s="49"/>
    </row>
    <row r="1302" spans="3:15" ht="19.5" customHeight="1">
      <c r="C1302" s="66"/>
      <c r="D1302" s="64"/>
      <c r="E1302" s="61"/>
      <c r="F1302" s="62"/>
      <c r="G1302" s="61"/>
      <c r="H1302" s="68"/>
      <c r="I1302" s="49"/>
      <c r="J1302" s="49"/>
      <c r="K1302" s="49"/>
      <c r="L1302" s="49"/>
      <c r="M1302" s="49"/>
      <c r="N1302" s="49"/>
      <c r="O1302" s="49"/>
    </row>
    <row r="1303" spans="3:15" ht="19.5" customHeight="1">
      <c r="C1303" s="66"/>
      <c r="D1303" s="64"/>
      <c r="E1303" s="61"/>
      <c r="F1303" s="62"/>
      <c r="G1303" s="61"/>
      <c r="H1303" s="68"/>
      <c r="I1303" s="49"/>
      <c r="J1303" s="49"/>
      <c r="K1303" s="49"/>
      <c r="L1303" s="49"/>
      <c r="M1303" s="49"/>
      <c r="N1303" s="49"/>
      <c r="O1303" s="49"/>
    </row>
    <row r="1304" spans="3:15" ht="19.5" customHeight="1">
      <c r="C1304" s="66"/>
      <c r="D1304" s="64"/>
      <c r="E1304" s="61"/>
      <c r="F1304" s="62"/>
      <c r="G1304" s="61"/>
      <c r="H1304" s="68"/>
      <c r="I1304" s="49"/>
      <c r="J1304" s="49"/>
      <c r="K1304" s="49"/>
      <c r="L1304" s="49"/>
      <c r="M1304" s="49"/>
      <c r="N1304" s="49"/>
      <c r="O1304" s="49"/>
    </row>
    <row r="1305" spans="3:15" ht="19.5" customHeight="1">
      <c r="C1305" s="66"/>
      <c r="D1305" s="64"/>
      <c r="E1305" s="61"/>
      <c r="F1305" s="62"/>
      <c r="G1305" s="61"/>
      <c r="H1305" s="68"/>
      <c r="I1305" s="49"/>
      <c r="J1305" s="49"/>
      <c r="K1305" s="49"/>
      <c r="L1305" s="49"/>
      <c r="M1305" s="49"/>
      <c r="N1305" s="49"/>
      <c r="O1305" s="49"/>
    </row>
    <row r="1306" spans="3:15" ht="19.5" customHeight="1">
      <c r="C1306" s="66"/>
      <c r="D1306" s="64"/>
      <c r="E1306" s="61"/>
      <c r="F1306" s="62"/>
      <c r="G1306" s="61"/>
      <c r="H1306" s="68"/>
      <c r="I1306" s="49"/>
      <c r="J1306" s="49"/>
      <c r="K1306" s="49"/>
      <c r="L1306" s="49"/>
      <c r="M1306" s="49"/>
      <c r="N1306" s="49"/>
      <c r="O1306" s="49"/>
    </row>
    <row r="1307" spans="3:15" ht="19.5" customHeight="1">
      <c r="C1307" s="66"/>
      <c r="D1307" s="64"/>
      <c r="E1307" s="61"/>
      <c r="F1307" s="62"/>
      <c r="G1307" s="61"/>
      <c r="H1307" s="68"/>
      <c r="I1307" s="49"/>
      <c r="J1307" s="49"/>
      <c r="K1307" s="49"/>
      <c r="L1307" s="49"/>
      <c r="M1307" s="49"/>
      <c r="N1307" s="49"/>
      <c r="O1307" s="49"/>
    </row>
    <row r="1308" spans="3:15" ht="19.5" customHeight="1">
      <c r="C1308" s="66"/>
      <c r="D1308" s="64"/>
      <c r="E1308" s="61"/>
      <c r="F1308" s="62"/>
      <c r="G1308" s="61"/>
      <c r="H1308" s="68"/>
      <c r="I1308" s="49"/>
      <c r="J1308" s="49"/>
      <c r="K1308" s="49"/>
      <c r="L1308" s="49"/>
      <c r="M1308" s="49"/>
      <c r="N1308" s="49"/>
      <c r="O1308" s="49"/>
    </row>
    <row r="1309" spans="3:15" ht="19.5" customHeight="1">
      <c r="C1309" s="66"/>
      <c r="D1309" s="64"/>
      <c r="E1309" s="61"/>
      <c r="F1309" s="62"/>
      <c r="G1309" s="61"/>
      <c r="H1309" s="68"/>
      <c r="I1309" s="49"/>
      <c r="J1309" s="49"/>
      <c r="K1309" s="49"/>
      <c r="L1309" s="49"/>
      <c r="M1309" s="49"/>
      <c r="N1309" s="49"/>
      <c r="O1309" s="49"/>
    </row>
    <row r="1310" spans="3:15" ht="19.5" customHeight="1">
      <c r="C1310" s="66"/>
      <c r="D1310" s="64"/>
      <c r="E1310" s="61"/>
      <c r="F1310" s="62"/>
      <c r="G1310" s="61"/>
      <c r="H1310" s="68"/>
      <c r="I1310" s="49"/>
      <c r="J1310" s="49"/>
      <c r="K1310" s="49"/>
      <c r="L1310" s="49"/>
      <c r="M1310" s="49"/>
      <c r="N1310" s="49"/>
      <c r="O1310" s="49"/>
    </row>
    <row r="1311" spans="3:15" ht="19.5" customHeight="1">
      <c r="C1311" s="66"/>
      <c r="D1311" s="64"/>
      <c r="E1311" s="61"/>
      <c r="F1311" s="62"/>
      <c r="G1311" s="61"/>
      <c r="H1311" s="68"/>
      <c r="I1311" s="49"/>
      <c r="J1311" s="49"/>
      <c r="K1311" s="49"/>
      <c r="L1311" s="49"/>
      <c r="M1311" s="49"/>
      <c r="N1311" s="49"/>
      <c r="O1311" s="49"/>
    </row>
    <row r="1312" spans="3:15" ht="19.5" customHeight="1">
      <c r="C1312" s="66"/>
      <c r="D1312" s="64"/>
      <c r="E1312" s="61"/>
      <c r="F1312" s="62"/>
      <c r="G1312" s="61"/>
      <c r="H1312" s="68"/>
      <c r="I1312" s="49"/>
      <c r="J1312" s="49"/>
      <c r="K1312" s="49"/>
      <c r="L1312" s="49"/>
      <c r="M1312" s="49"/>
      <c r="N1312" s="49"/>
      <c r="O1312" s="49"/>
    </row>
    <row r="1313" spans="3:15" ht="19.5" customHeight="1">
      <c r="C1313" s="66"/>
      <c r="D1313" s="64"/>
      <c r="E1313" s="61"/>
      <c r="F1313" s="62"/>
      <c r="G1313" s="61"/>
      <c r="H1313" s="68"/>
      <c r="I1313" s="49"/>
      <c r="J1313" s="49"/>
      <c r="K1313" s="49"/>
      <c r="L1313" s="49"/>
      <c r="M1313" s="49"/>
      <c r="N1313" s="49"/>
      <c r="O1313" s="49"/>
    </row>
    <row r="1314" spans="3:15" ht="19.5" customHeight="1">
      <c r="C1314" s="66"/>
      <c r="D1314" s="64"/>
      <c r="E1314" s="61"/>
      <c r="F1314" s="62"/>
      <c r="G1314" s="61"/>
      <c r="H1314" s="68"/>
      <c r="I1314" s="49"/>
      <c r="J1314" s="49"/>
      <c r="K1314" s="49"/>
      <c r="L1314" s="49"/>
      <c r="M1314" s="49"/>
      <c r="N1314" s="49"/>
      <c r="O1314" s="49"/>
    </row>
    <row r="1315" spans="3:15" ht="19.5" customHeight="1">
      <c r="C1315" s="66"/>
      <c r="D1315" s="64"/>
      <c r="E1315" s="61"/>
      <c r="F1315" s="62"/>
      <c r="G1315" s="61"/>
      <c r="H1315" s="68"/>
      <c r="I1315" s="49"/>
      <c r="J1315" s="49"/>
      <c r="K1315" s="49"/>
      <c r="L1315" s="49"/>
      <c r="M1315" s="49"/>
      <c r="N1315" s="49"/>
      <c r="O1315" s="49"/>
    </row>
    <row r="1316" spans="3:15" ht="19.5" customHeight="1">
      <c r="C1316" s="66"/>
      <c r="D1316" s="64"/>
      <c r="E1316" s="61"/>
      <c r="F1316" s="62"/>
      <c r="G1316" s="61"/>
      <c r="H1316" s="68"/>
      <c r="I1316" s="49"/>
      <c r="J1316" s="49"/>
      <c r="K1316" s="49"/>
      <c r="L1316" s="49"/>
      <c r="M1316" s="49"/>
      <c r="N1316" s="49"/>
      <c r="O1316" s="49"/>
    </row>
    <row r="1317" spans="3:15" ht="19.5" customHeight="1">
      <c r="C1317" s="66"/>
      <c r="D1317" s="64"/>
      <c r="E1317" s="61"/>
      <c r="F1317" s="62"/>
      <c r="G1317" s="61"/>
      <c r="H1317" s="68"/>
      <c r="I1317" s="49"/>
      <c r="J1317" s="49"/>
      <c r="K1317" s="49"/>
      <c r="L1317" s="49"/>
      <c r="M1317" s="49"/>
      <c r="N1317" s="49"/>
      <c r="O1317" s="49"/>
    </row>
    <row r="1318" spans="3:15" ht="19.5" customHeight="1">
      <c r="C1318" s="66"/>
      <c r="D1318" s="64"/>
      <c r="E1318" s="61"/>
      <c r="F1318" s="62"/>
      <c r="G1318" s="61"/>
      <c r="H1318" s="68"/>
      <c r="I1318" s="49"/>
      <c r="J1318" s="49"/>
      <c r="K1318" s="49"/>
      <c r="L1318" s="49"/>
      <c r="M1318" s="49"/>
      <c r="N1318" s="49"/>
      <c r="O1318" s="49"/>
    </row>
    <row r="1319" spans="3:15" ht="19.5" customHeight="1">
      <c r="C1319" s="66"/>
      <c r="D1319" s="64"/>
      <c r="E1319" s="61"/>
      <c r="F1319" s="62"/>
      <c r="G1319" s="61"/>
      <c r="H1319" s="68"/>
      <c r="I1319" s="49"/>
      <c r="J1319" s="49"/>
      <c r="K1319" s="49"/>
      <c r="L1319" s="49"/>
      <c r="M1319" s="49"/>
      <c r="N1319" s="49"/>
      <c r="O1319" s="49"/>
    </row>
    <row r="1320" spans="3:15" ht="19.5" customHeight="1">
      <c r="C1320" s="66"/>
      <c r="D1320" s="64"/>
      <c r="E1320" s="61"/>
      <c r="F1320" s="62"/>
      <c r="G1320" s="61"/>
      <c r="H1320" s="68"/>
      <c r="I1320" s="49"/>
      <c r="J1320" s="49"/>
      <c r="K1320" s="49"/>
      <c r="L1320" s="49"/>
      <c r="M1320" s="49"/>
      <c r="N1320" s="49"/>
      <c r="O1320" s="49"/>
    </row>
    <row r="1321" spans="3:15" ht="19.5" customHeight="1">
      <c r="C1321" s="66"/>
      <c r="D1321" s="64"/>
      <c r="E1321" s="61"/>
      <c r="F1321" s="62"/>
      <c r="G1321" s="61"/>
      <c r="H1321" s="68"/>
      <c r="I1321" s="49"/>
      <c r="J1321" s="49"/>
      <c r="K1321" s="49"/>
      <c r="L1321" s="49"/>
      <c r="M1321" s="49"/>
      <c r="N1321" s="49"/>
      <c r="O1321" s="49"/>
    </row>
    <row r="1322" spans="3:15" ht="19.5" customHeight="1">
      <c r="C1322" s="66"/>
      <c r="D1322" s="64"/>
      <c r="E1322" s="61"/>
      <c r="F1322" s="62"/>
      <c r="G1322" s="61"/>
      <c r="H1322" s="68"/>
      <c r="I1322" s="49"/>
      <c r="J1322" s="49"/>
      <c r="K1322" s="49"/>
      <c r="L1322" s="49"/>
      <c r="M1322" s="49"/>
      <c r="N1322" s="49"/>
      <c r="O1322" s="49"/>
    </row>
    <row r="1323" spans="3:15" ht="19.5" customHeight="1">
      <c r="C1323" s="66"/>
      <c r="D1323" s="64"/>
      <c r="E1323" s="61"/>
      <c r="F1323" s="62"/>
      <c r="G1323" s="61"/>
      <c r="H1323" s="68"/>
      <c r="I1323" s="49"/>
      <c r="J1323" s="49"/>
      <c r="K1323" s="49"/>
      <c r="L1323" s="49"/>
      <c r="M1323" s="49"/>
      <c r="N1323" s="49"/>
      <c r="O1323" s="49"/>
    </row>
    <row r="1324" spans="3:15" ht="19.5" customHeight="1">
      <c r="C1324" s="66"/>
      <c r="D1324" s="64"/>
      <c r="E1324" s="61"/>
      <c r="F1324" s="62"/>
      <c r="G1324" s="61"/>
      <c r="H1324" s="68"/>
      <c r="I1324" s="49"/>
      <c r="J1324" s="49"/>
      <c r="K1324" s="49"/>
      <c r="L1324" s="49"/>
      <c r="M1324" s="49"/>
      <c r="N1324" s="49"/>
      <c r="O1324" s="49"/>
    </row>
    <row r="1325" spans="3:15" ht="19.5" customHeight="1">
      <c r="C1325" s="66"/>
      <c r="D1325" s="64"/>
      <c r="E1325" s="61"/>
      <c r="F1325" s="62"/>
      <c r="G1325" s="61"/>
      <c r="H1325" s="68"/>
      <c r="I1325" s="49"/>
      <c r="J1325" s="49"/>
      <c r="K1325" s="49"/>
      <c r="L1325" s="49"/>
      <c r="M1325" s="49"/>
      <c r="N1325" s="49"/>
      <c r="O1325" s="49"/>
    </row>
    <row r="1326" spans="3:15" ht="19.5" customHeight="1">
      <c r="C1326" s="66"/>
      <c r="D1326" s="64"/>
      <c r="E1326" s="61"/>
      <c r="F1326" s="62"/>
      <c r="G1326" s="61"/>
      <c r="H1326" s="68"/>
      <c r="I1326" s="49"/>
      <c r="J1326" s="49"/>
      <c r="K1326" s="49"/>
      <c r="L1326" s="49"/>
      <c r="M1326" s="49"/>
      <c r="N1326" s="49"/>
      <c r="O1326" s="49"/>
    </row>
    <row r="1327" spans="3:15" ht="19.5" customHeight="1">
      <c r="C1327" s="66"/>
      <c r="D1327" s="64"/>
      <c r="E1327" s="61"/>
      <c r="F1327" s="62"/>
      <c r="G1327" s="61"/>
      <c r="H1327" s="68"/>
      <c r="I1327" s="49"/>
      <c r="J1327" s="49"/>
      <c r="K1327" s="49"/>
      <c r="L1327" s="49"/>
      <c r="M1327" s="49"/>
      <c r="N1327" s="49"/>
      <c r="O1327" s="49"/>
    </row>
    <row r="1328" spans="3:15" ht="19.5" customHeight="1">
      <c r="C1328" s="66"/>
      <c r="D1328" s="64"/>
      <c r="E1328" s="61"/>
      <c r="F1328" s="62"/>
      <c r="G1328" s="61"/>
      <c r="H1328" s="68"/>
      <c r="I1328" s="49"/>
      <c r="J1328" s="49"/>
      <c r="K1328" s="49"/>
      <c r="L1328" s="49"/>
      <c r="M1328" s="49"/>
      <c r="N1328" s="49"/>
      <c r="O1328" s="49"/>
    </row>
    <row r="1329" spans="3:15" ht="19.5" customHeight="1">
      <c r="C1329" s="66"/>
      <c r="D1329" s="64"/>
      <c r="E1329" s="61"/>
      <c r="F1329" s="62"/>
      <c r="G1329" s="61"/>
      <c r="H1329" s="68"/>
      <c r="I1329" s="49"/>
      <c r="J1329" s="49"/>
      <c r="K1329" s="49"/>
      <c r="L1329" s="49"/>
      <c r="M1329" s="49"/>
      <c r="N1329" s="49"/>
      <c r="O1329" s="49"/>
    </row>
    <row r="1330" spans="3:15" ht="19.5" customHeight="1">
      <c r="C1330" s="66"/>
      <c r="D1330" s="64"/>
      <c r="E1330" s="61"/>
      <c r="F1330" s="62"/>
      <c r="G1330" s="61"/>
      <c r="H1330" s="68"/>
      <c r="I1330" s="49"/>
      <c r="J1330" s="49"/>
      <c r="K1330" s="49"/>
      <c r="L1330" s="49"/>
      <c r="M1330" s="49"/>
      <c r="N1330" s="49"/>
      <c r="O1330" s="49"/>
    </row>
    <row r="1331" spans="3:15" ht="19.5" customHeight="1">
      <c r="C1331" s="66"/>
      <c r="D1331" s="64"/>
      <c r="E1331" s="61"/>
      <c r="F1331" s="62"/>
      <c r="G1331" s="61"/>
      <c r="H1331" s="68"/>
      <c r="I1331" s="49"/>
      <c r="J1331" s="49"/>
      <c r="K1331" s="49"/>
      <c r="L1331" s="49"/>
      <c r="M1331" s="49"/>
      <c r="N1331" s="49"/>
      <c r="O1331" s="49"/>
    </row>
    <row r="1332" spans="3:15" ht="19.5" customHeight="1">
      <c r="C1332" s="66"/>
      <c r="D1332" s="64"/>
      <c r="E1332" s="61"/>
      <c r="F1332" s="62"/>
      <c r="G1332" s="61"/>
      <c r="H1332" s="68"/>
      <c r="I1332" s="49"/>
      <c r="J1332" s="49"/>
      <c r="K1332" s="49"/>
      <c r="L1332" s="49"/>
      <c r="M1332" s="49"/>
      <c r="N1332" s="49"/>
      <c r="O1332" s="49"/>
    </row>
    <row r="1333" spans="3:15" ht="19.5" customHeight="1">
      <c r="C1333" s="66"/>
      <c r="D1333" s="64"/>
      <c r="E1333" s="61"/>
      <c r="F1333" s="62"/>
      <c r="G1333" s="61"/>
      <c r="H1333" s="68"/>
      <c r="I1333" s="49"/>
      <c r="J1333" s="49"/>
      <c r="K1333" s="49"/>
      <c r="L1333" s="49"/>
      <c r="M1333" s="49"/>
      <c r="N1333" s="49"/>
      <c r="O1333" s="49"/>
    </row>
    <row r="1334" spans="3:15" ht="19.5" customHeight="1">
      <c r="C1334" s="66"/>
      <c r="D1334" s="64"/>
      <c r="E1334" s="61"/>
      <c r="F1334" s="62"/>
      <c r="G1334" s="61"/>
      <c r="H1334" s="68"/>
      <c r="I1334" s="49"/>
      <c r="J1334" s="49"/>
      <c r="K1334" s="49"/>
      <c r="L1334" s="49"/>
      <c r="M1334" s="49"/>
      <c r="N1334" s="49"/>
      <c r="O1334" s="49"/>
    </row>
    <row r="1335" spans="3:15" ht="19.5" customHeight="1">
      <c r="C1335" s="66"/>
      <c r="D1335" s="64"/>
      <c r="E1335" s="61"/>
      <c r="F1335" s="62"/>
      <c r="G1335" s="61"/>
      <c r="H1335" s="68"/>
      <c r="I1335" s="49"/>
      <c r="J1335" s="49"/>
      <c r="K1335" s="49"/>
      <c r="L1335" s="49"/>
      <c r="M1335" s="49"/>
      <c r="N1335" s="49"/>
      <c r="O1335" s="49"/>
    </row>
    <row r="1336" spans="3:15" ht="19.5" customHeight="1">
      <c r="C1336" s="66"/>
      <c r="D1336" s="64"/>
      <c r="E1336" s="61"/>
      <c r="F1336" s="62"/>
      <c r="G1336" s="61"/>
      <c r="H1336" s="68"/>
      <c r="I1336" s="49"/>
      <c r="J1336" s="49"/>
      <c r="K1336" s="49"/>
      <c r="L1336" s="49"/>
      <c r="M1336" s="49"/>
      <c r="N1336" s="49"/>
      <c r="O1336" s="49"/>
    </row>
    <row r="1337" spans="3:15" ht="19.5" customHeight="1">
      <c r="C1337" s="66"/>
      <c r="D1337" s="64"/>
      <c r="E1337" s="61"/>
      <c r="F1337" s="62"/>
      <c r="G1337" s="61"/>
      <c r="H1337" s="68"/>
      <c r="I1337" s="49"/>
      <c r="J1337" s="49"/>
      <c r="K1337" s="49"/>
      <c r="L1337" s="49"/>
      <c r="M1337" s="49"/>
      <c r="N1337" s="49"/>
      <c r="O1337" s="49"/>
    </row>
    <row r="1338" spans="3:15" ht="19.5" customHeight="1">
      <c r="C1338" s="66"/>
      <c r="D1338" s="64"/>
      <c r="E1338" s="61"/>
      <c r="F1338" s="62"/>
      <c r="G1338" s="61"/>
      <c r="H1338" s="68"/>
      <c r="I1338" s="49"/>
      <c r="J1338" s="49"/>
      <c r="K1338" s="49"/>
      <c r="L1338" s="49"/>
      <c r="M1338" s="49"/>
      <c r="N1338" s="49"/>
      <c r="O1338" s="49"/>
    </row>
    <row r="1339" spans="3:15" ht="19.5" customHeight="1">
      <c r="C1339" s="66"/>
      <c r="D1339" s="64"/>
      <c r="E1339" s="61"/>
      <c r="F1339" s="62"/>
      <c r="G1339" s="61"/>
      <c r="H1339" s="68"/>
      <c r="I1339" s="49"/>
      <c r="J1339" s="49"/>
      <c r="K1339" s="49"/>
      <c r="L1339" s="49"/>
      <c r="M1339" s="49"/>
      <c r="N1339" s="49"/>
      <c r="O1339" s="49"/>
    </row>
    <row r="1340" spans="3:15" ht="19.5" customHeight="1">
      <c r="C1340" s="66"/>
      <c r="D1340" s="64"/>
      <c r="E1340" s="61"/>
      <c r="F1340" s="62"/>
      <c r="G1340" s="61"/>
      <c r="H1340" s="68"/>
      <c r="I1340" s="49"/>
      <c r="J1340" s="49"/>
      <c r="K1340" s="49"/>
      <c r="L1340" s="49"/>
      <c r="M1340" s="49"/>
      <c r="N1340" s="49"/>
      <c r="O1340" s="49"/>
    </row>
    <row r="1341" spans="3:15" ht="19.5" customHeight="1">
      <c r="C1341" s="66"/>
      <c r="D1341" s="64"/>
      <c r="E1341" s="61"/>
      <c r="F1341" s="62"/>
      <c r="G1341" s="61"/>
      <c r="H1341" s="68"/>
      <c r="I1341" s="49"/>
      <c r="J1341" s="49"/>
      <c r="K1341" s="49"/>
      <c r="L1341" s="49"/>
      <c r="M1341" s="49"/>
      <c r="N1341" s="49"/>
      <c r="O1341" s="49"/>
    </row>
    <row r="1342" spans="3:15" ht="19.5" customHeight="1">
      <c r="C1342" s="66"/>
      <c r="D1342" s="64"/>
      <c r="E1342" s="61"/>
      <c r="F1342" s="62"/>
      <c r="G1342" s="61"/>
      <c r="H1342" s="68"/>
      <c r="I1342" s="49"/>
      <c r="J1342" s="49"/>
      <c r="K1342" s="49"/>
      <c r="L1342" s="49"/>
      <c r="M1342" s="49"/>
      <c r="N1342" s="49"/>
      <c r="O1342" s="49"/>
    </row>
    <row r="1343" spans="3:15" ht="19.5" customHeight="1">
      <c r="C1343" s="66"/>
      <c r="D1343" s="64"/>
      <c r="E1343" s="61"/>
      <c r="F1343" s="62"/>
      <c r="G1343" s="61"/>
      <c r="H1343" s="68"/>
      <c r="I1343" s="49"/>
      <c r="J1343" s="49"/>
      <c r="K1343" s="49"/>
      <c r="L1343" s="49"/>
      <c r="M1343" s="49"/>
      <c r="N1343" s="49"/>
      <c r="O1343" s="49"/>
    </row>
    <row r="1344" spans="3:15" ht="19.5" customHeight="1">
      <c r="C1344" s="66"/>
      <c r="D1344" s="64"/>
      <c r="E1344" s="61"/>
      <c r="F1344" s="62"/>
      <c r="G1344" s="61"/>
      <c r="H1344" s="68"/>
      <c r="I1344" s="49"/>
      <c r="J1344" s="49"/>
      <c r="K1344" s="49"/>
      <c r="L1344" s="49"/>
      <c r="M1344" s="49"/>
      <c r="N1344" s="49"/>
      <c r="O1344" s="49"/>
    </row>
    <row r="1345" spans="3:15" ht="19.5" customHeight="1">
      <c r="C1345" s="66"/>
      <c r="D1345" s="64"/>
      <c r="E1345" s="61"/>
      <c r="F1345" s="62"/>
      <c r="G1345" s="61"/>
      <c r="H1345" s="68"/>
      <c r="I1345" s="49"/>
      <c r="J1345" s="49"/>
      <c r="K1345" s="49"/>
      <c r="L1345" s="49"/>
      <c r="M1345" s="49"/>
      <c r="N1345" s="49"/>
      <c r="O1345" s="49"/>
    </row>
    <row r="1346" spans="3:15" ht="19.5" customHeight="1">
      <c r="C1346" s="66"/>
      <c r="D1346" s="64"/>
      <c r="E1346" s="61"/>
      <c r="F1346" s="62"/>
      <c r="G1346" s="61"/>
      <c r="H1346" s="68"/>
      <c r="I1346" s="49"/>
      <c r="J1346" s="49"/>
      <c r="K1346" s="49"/>
      <c r="L1346" s="49"/>
      <c r="M1346" s="49"/>
      <c r="N1346" s="49"/>
      <c r="O1346" s="49"/>
    </row>
    <row r="1347" spans="3:15" ht="19.5" customHeight="1">
      <c r="C1347" s="66"/>
      <c r="D1347" s="64"/>
      <c r="E1347" s="61"/>
      <c r="F1347" s="62"/>
      <c r="G1347" s="61"/>
      <c r="H1347" s="68"/>
      <c r="I1347" s="49"/>
      <c r="J1347" s="49"/>
      <c r="K1347" s="49"/>
      <c r="L1347" s="49"/>
      <c r="M1347" s="49"/>
      <c r="N1347" s="49"/>
      <c r="O1347" s="49"/>
    </row>
    <row r="1348" spans="3:15" ht="19.5" customHeight="1">
      <c r="C1348" s="66"/>
      <c r="D1348" s="64"/>
      <c r="E1348" s="61"/>
      <c r="F1348" s="62"/>
      <c r="G1348" s="61"/>
      <c r="H1348" s="68"/>
      <c r="I1348" s="49"/>
      <c r="J1348" s="49"/>
      <c r="K1348" s="49"/>
      <c r="L1348" s="49"/>
      <c r="M1348" s="49"/>
      <c r="N1348" s="49"/>
      <c r="O1348" s="49"/>
    </row>
    <row r="1349" spans="3:15" ht="19.5" customHeight="1">
      <c r="C1349" s="66"/>
      <c r="D1349" s="64"/>
      <c r="E1349" s="61"/>
      <c r="F1349" s="62"/>
      <c r="G1349" s="61"/>
      <c r="H1349" s="68"/>
      <c r="I1349" s="49"/>
      <c r="J1349" s="49"/>
      <c r="K1349" s="49"/>
      <c r="L1349" s="49"/>
      <c r="M1349" s="49"/>
      <c r="N1349" s="49"/>
      <c r="O1349" s="49"/>
    </row>
    <row r="1350" spans="3:15" ht="19.5" customHeight="1">
      <c r="C1350" s="66"/>
      <c r="D1350" s="64"/>
      <c r="E1350" s="61"/>
      <c r="F1350" s="62"/>
      <c r="G1350" s="61"/>
      <c r="H1350" s="68"/>
      <c r="I1350" s="49"/>
      <c r="J1350" s="49"/>
      <c r="K1350" s="49"/>
      <c r="L1350" s="49"/>
      <c r="M1350" s="49"/>
      <c r="N1350" s="49"/>
      <c r="O1350" s="49"/>
    </row>
    <row r="1351" spans="3:15" ht="19.5" customHeight="1">
      <c r="C1351" s="66"/>
      <c r="D1351" s="64"/>
      <c r="E1351" s="61"/>
      <c r="F1351" s="62"/>
      <c r="G1351" s="61"/>
      <c r="H1351" s="68"/>
      <c r="I1351" s="49"/>
      <c r="J1351" s="49"/>
      <c r="K1351" s="49"/>
      <c r="L1351" s="49"/>
      <c r="M1351" s="49"/>
      <c r="N1351" s="49"/>
      <c r="O1351" s="49"/>
    </row>
    <row r="1352" spans="3:15" ht="19.5" customHeight="1">
      <c r="C1352" s="66"/>
      <c r="D1352" s="64"/>
      <c r="E1352" s="61"/>
      <c r="F1352" s="62"/>
      <c r="G1352" s="61"/>
      <c r="H1352" s="68"/>
      <c r="I1352" s="49"/>
      <c r="J1352" s="49"/>
      <c r="K1352" s="49"/>
      <c r="L1352" s="49"/>
      <c r="M1352" s="49"/>
      <c r="N1352" s="49"/>
      <c r="O1352" s="49"/>
    </row>
    <row r="1353" spans="3:15" ht="19.5" customHeight="1">
      <c r="C1353" s="66"/>
      <c r="D1353" s="64"/>
      <c r="E1353" s="61"/>
      <c r="F1353" s="62"/>
      <c r="G1353" s="61"/>
      <c r="H1353" s="68"/>
      <c r="I1353" s="49"/>
      <c r="J1353" s="49"/>
      <c r="K1353" s="49"/>
      <c r="L1353" s="49"/>
      <c r="M1353" s="49"/>
      <c r="N1353" s="49"/>
      <c r="O1353" s="49"/>
    </row>
    <row r="1354" spans="3:15" ht="19.5" customHeight="1">
      <c r="C1354" s="66"/>
      <c r="D1354" s="64"/>
      <c r="E1354" s="61"/>
      <c r="F1354" s="62"/>
      <c r="G1354" s="61"/>
      <c r="H1354" s="68"/>
      <c r="I1354" s="49"/>
      <c r="J1354" s="49"/>
      <c r="K1354" s="49"/>
      <c r="L1354" s="49"/>
      <c r="M1354" s="49"/>
      <c r="N1354" s="49"/>
      <c r="O1354" s="49"/>
    </row>
    <row r="1355" spans="3:15" ht="19.5" customHeight="1">
      <c r="C1355" s="66"/>
      <c r="D1355" s="64"/>
      <c r="E1355" s="61"/>
      <c r="F1355" s="62"/>
      <c r="G1355" s="61"/>
      <c r="H1355" s="68"/>
      <c r="I1355" s="49"/>
      <c r="J1355" s="49"/>
      <c r="K1355" s="49"/>
      <c r="L1355" s="49"/>
      <c r="M1355" s="49"/>
      <c r="N1355" s="49"/>
      <c r="O1355" s="49"/>
    </row>
    <row r="1356" spans="3:15" ht="19.5" customHeight="1">
      <c r="C1356" s="66"/>
      <c r="D1356" s="64"/>
      <c r="E1356" s="61"/>
      <c r="F1356" s="62"/>
      <c r="G1356" s="61"/>
      <c r="H1356" s="68"/>
      <c r="I1356" s="49"/>
      <c r="J1356" s="49"/>
      <c r="K1356" s="49"/>
      <c r="L1356" s="49"/>
      <c r="M1356" s="49"/>
      <c r="N1356" s="49"/>
      <c r="O1356" s="49"/>
    </row>
    <row r="1357" spans="3:15" ht="19.5" customHeight="1">
      <c r="C1357" s="66"/>
      <c r="D1357" s="64"/>
      <c r="E1357" s="61"/>
      <c r="F1357" s="62"/>
      <c r="G1357" s="61"/>
      <c r="H1357" s="68"/>
      <c r="I1357" s="49"/>
      <c r="J1357" s="49"/>
      <c r="K1357" s="49"/>
      <c r="L1357" s="49"/>
      <c r="M1357" s="49"/>
      <c r="N1357" s="49"/>
      <c r="O1357" s="49"/>
    </row>
    <row r="1358" spans="3:15" ht="19.5" customHeight="1">
      <c r="C1358" s="66"/>
      <c r="D1358" s="64"/>
      <c r="E1358" s="61"/>
      <c r="F1358" s="62"/>
      <c r="G1358" s="61"/>
      <c r="H1358" s="68"/>
      <c r="I1358" s="49"/>
      <c r="J1358" s="49"/>
      <c r="K1358" s="49"/>
      <c r="L1358" s="49"/>
      <c r="M1358" s="49"/>
      <c r="N1358" s="49"/>
      <c r="O1358" s="49"/>
    </row>
    <row r="1359" spans="3:15" ht="19.5" customHeight="1">
      <c r="C1359" s="66"/>
      <c r="D1359" s="64"/>
      <c r="E1359" s="61"/>
      <c r="F1359" s="62"/>
      <c r="G1359" s="61"/>
      <c r="H1359" s="68"/>
      <c r="I1359" s="49"/>
      <c r="J1359" s="49"/>
      <c r="K1359" s="49"/>
      <c r="L1359" s="49"/>
      <c r="M1359" s="49"/>
      <c r="N1359" s="49"/>
      <c r="O1359" s="49"/>
    </row>
    <row r="1360" spans="3:15" ht="19.5" customHeight="1">
      <c r="C1360" s="66"/>
      <c r="D1360" s="64"/>
      <c r="E1360" s="61"/>
      <c r="F1360" s="62"/>
      <c r="G1360" s="61"/>
      <c r="H1360" s="68"/>
      <c r="I1360" s="49"/>
      <c r="J1360" s="49"/>
      <c r="K1360" s="49"/>
      <c r="L1360" s="49"/>
      <c r="M1360" s="49"/>
      <c r="N1360" s="49"/>
      <c r="O1360" s="49"/>
    </row>
    <row r="1361" spans="3:15" ht="19.5" customHeight="1">
      <c r="C1361" s="66"/>
      <c r="D1361" s="64"/>
      <c r="E1361" s="61"/>
      <c r="F1361" s="62"/>
      <c r="G1361" s="61"/>
      <c r="H1361" s="68"/>
      <c r="I1361" s="49"/>
      <c r="J1361" s="49"/>
      <c r="K1361" s="49"/>
      <c r="L1361" s="49"/>
      <c r="M1361" s="49"/>
      <c r="N1361" s="49"/>
      <c r="O1361" s="49"/>
    </row>
    <row r="1362" spans="3:15" ht="19.5" customHeight="1">
      <c r="C1362" s="66"/>
      <c r="D1362" s="64"/>
      <c r="E1362" s="61"/>
      <c r="F1362" s="62"/>
      <c r="G1362" s="61"/>
      <c r="H1362" s="68"/>
      <c r="I1362" s="49"/>
      <c r="J1362" s="49"/>
      <c r="K1362" s="49"/>
      <c r="L1362" s="49"/>
      <c r="M1362" s="49"/>
      <c r="N1362" s="49"/>
      <c r="O1362" s="49"/>
    </row>
    <row r="1363" spans="3:15" ht="19.5" customHeight="1">
      <c r="C1363" s="66"/>
      <c r="D1363" s="64"/>
      <c r="E1363" s="61"/>
      <c r="F1363" s="62"/>
      <c r="G1363" s="61"/>
      <c r="H1363" s="68"/>
      <c r="I1363" s="49"/>
      <c r="J1363" s="49"/>
      <c r="K1363" s="49"/>
      <c r="L1363" s="49"/>
      <c r="M1363" s="49"/>
      <c r="N1363" s="49"/>
      <c r="O1363" s="49"/>
    </row>
    <row r="1364" spans="3:15" ht="19.5" customHeight="1">
      <c r="C1364" s="66"/>
      <c r="D1364" s="64"/>
      <c r="E1364" s="61"/>
      <c r="F1364" s="62"/>
      <c r="G1364" s="61"/>
      <c r="H1364" s="68"/>
      <c r="I1364" s="49"/>
      <c r="J1364" s="49"/>
      <c r="K1364" s="49"/>
      <c r="L1364" s="49"/>
      <c r="M1364" s="49"/>
      <c r="N1364" s="49"/>
      <c r="O1364" s="49"/>
    </row>
    <row r="1365" spans="3:15" ht="19.5" customHeight="1">
      <c r="C1365" s="66"/>
      <c r="D1365" s="64"/>
      <c r="E1365" s="61"/>
      <c r="F1365" s="62"/>
      <c r="G1365" s="61"/>
      <c r="H1365" s="68"/>
      <c r="I1365" s="49"/>
      <c r="J1365" s="49"/>
      <c r="K1365" s="49"/>
      <c r="L1365" s="49"/>
      <c r="M1365" s="49"/>
      <c r="N1365" s="49"/>
      <c r="O1365" s="49"/>
    </row>
    <row r="1366" spans="3:15" ht="19.5" customHeight="1">
      <c r="C1366" s="66"/>
      <c r="D1366" s="64"/>
      <c r="E1366" s="61"/>
      <c r="F1366" s="62"/>
      <c r="G1366" s="61"/>
      <c r="H1366" s="68"/>
      <c r="I1366" s="49"/>
      <c r="J1366" s="49"/>
      <c r="K1366" s="49"/>
      <c r="L1366" s="49"/>
      <c r="M1366" s="49"/>
      <c r="N1366" s="49"/>
      <c r="O1366" s="49"/>
    </row>
    <row r="1367" spans="3:15" ht="19.5" customHeight="1">
      <c r="C1367" s="66"/>
      <c r="D1367" s="64"/>
      <c r="E1367" s="61"/>
      <c r="F1367" s="62"/>
      <c r="G1367" s="61"/>
      <c r="H1367" s="68"/>
      <c r="I1367" s="49"/>
      <c r="J1367" s="49"/>
      <c r="K1367" s="49"/>
      <c r="L1367" s="49"/>
      <c r="M1367" s="49"/>
      <c r="N1367" s="49"/>
      <c r="O1367" s="49"/>
    </row>
    <row r="1368" spans="3:15" ht="19.5" customHeight="1">
      <c r="C1368" s="66"/>
      <c r="D1368" s="64"/>
      <c r="E1368" s="61"/>
      <c r="F1368" s="62"/>
      <c r="G1368" s="61"/>
      <c r="H1368" s="68"/>
      <c r="I1368" s="49"/>
      <c r="J1368" s="49"/>
      <c r="K1368" s="49"/>
      <c r="L1368" s="49"/>
      <c r="M1368" s="49"/>
      <c r="N1368" s="49"/>
      <c r="O1368" s="49"/>
    </row>
    <row r="1369" spans="3:15" ht="19.5" customHeight="1">
      <c r="C1369" s="66"/>
      <c r="D1369" s="64"/>
      <c r="E1369" s="61"/>
      <c r="F1369" s="62"/>
      <c r="G1369" s="61"/>
      <c r="H1369" s="68"/>
      <c r="I1369" s="49"/>
      <c r="J1369" s="49"/>
      <c r="K1369" s="49"/>
      <c r="L1369" s="49"/>
      <c r="M1369" s="49"/>
      <c r="N1369" s="49"/>
      <c r="O1369" s="49"/>
    </row>
    <row r="1370" spans="3:15" ht="19.5" customHeight="1">
      <c r="C1370" s="66"/>
      <c r="D1370" s="64"/>
      <c r="E1370" s="61"/>
      <c r="F1370" s="62"/>
      <c r="G1370" s="61"/>
      <c r="H1370" s="68"/>
      <c r="I1370" s="49"/>
      <c r="J1370" s="49"/>
      <c r="K1370" s="49"/>
      <c r="L1370" s="49"/>
      <c r="M1370" s="49"/>
      <c r="N1370" s="49"/>
      <c r="O1370" s="49"/>
    </row>
    <row r="1371" spans="3:15" ht="19.5" customHeight="1">
      <c r="C1371" s="66"/>
      <c r="D1371" s="64"/>
      <c r="E1371" s="61"/>
      <c r="F1371" s="62"/>
      <c r="G1371" s="61"/>
      <c r="H1371" s="68"/>
      <c r="I1371" s="49"/>
      <c r="J1371" s="49"/>
      <c r="K1371" s="49"/>
      <c r="L1371" s="49"/>
      <c r="M1371" s="49"/>
      <c r="N1371" s="49"/>
      <c r="O1371" s="49"/>
    </row>
    <row r="1372" spans="3:15" ht="19.5" customHeight="1">
      <c r="C1372" s="66"/>
      <c r="D1372" s="64"/>
      <c r="E1372" s="61"/>
      <c r="F1372" s="62"/>
      <c r="G1372" s="61"/>
      <c r="H1372" s="68"/>
      <c r="I1372" s="49"/>
      <c r="J1372" s="49"/>
      <c r="K1372" s="49"/>
      <c r="L1372" s="49"/>
      <c r="M1372" s="49"/>
      <c r="N1372" s="49"/>
      <c r="O1372" s="49"/>
    </row>
    <row r="1373" spans="3:15" ht="19.5" customHeight="1">
      <c r="C1373" s="66"/>
      <c r="D1373" s="64"/>
      <c r="E1373" s="61"/>
      <c r="F1373" s="62"/>
      <c r="G1373" s="61"/>
      <c r="H1373" s="68"/>
      <c r="I1373" s="49"/>
      <c r="J1373" s="49"/>
      <c r="K1373" s="49"/>
      <c r="L1373" s="49"/>
      <c r="M1373" s="49"/>
      <c r="N1373" s="49"/>
      <c r="O1373" s="49"/>
    </row>
    <row r="1374" spans="3:15" ht="19.5" customHeight="1">
      <c r="C1374" s="66"/>
      <c r="D1374" s="64"/>
      <c r="E1374" s="61"/>
      <c r="F1374" s="62"/>
      <c r="G1374" s="61"/>
      <c r="H1374" s="68"/>
      <c r="I1374" s="49"/>
      <c r="J1374" s="49"/>
      <c r="K1374" s="49"/>
      <c r="L1374" s="49"/>
      <c r="M1374" s="49"/>
      <c r="N1374" s="49"/>
      <c r="O1374" s="49"/>
    </row>
    <row r="1375" spans="3:15" ht="19.5" customHeight="1">
      <c r="C1375" s="66"/>
      <c r="D1375" s="64"/>
      <c r="E1375" s="61"/>
      <c r="F1375" s="62"/>
      <c r="G1375" s="61"/>
      <c r="H1375" s="68"/>
      <c r="I1375" s="49"/>
      <c r="J1375" s="49"/>
      <c r="K1375" s="49"/>
      <c r="L1375" s="49"/>
      <c r="M1375" s="49"/>
      <c r="N1375" s="49"/>
      <c r="O1375" s="49"/>
    </row>
    <row r="1376" spans="3:15" ht="19.5" customHeight="1">
      <c r="C1376" s="66"/>
      <c r="D1376" s="64"/>
      <c r="E1376" s="61"/>
      <c r="F1376" s="62"/>
      <c r="G1376" s="61"/>
      <c r="H1376" s="68"/>
      <c r="I1376" s="49"/>
      <c r="J1376" s="49"/>
      <c r="K1376" s="49"/>
      <c r="L1376" s="49"/>
      <c r="M1376" s="49"/>
      <c r="N1376" s="49"/>
      <c r="O1376" s="49"/>
    </row>
    <row r="1377" spans="3:15" ht="19.5" customHeight="1">
      <c r="C1377" s="66"/>
      <c r="D1377" s="64"/>
      <c r="E1377" s="61"/>
      <c r="F1377" s="62"/>
      <c r="G1377" s="61"/>
      <c r="H1377" s="68"/>
      <c r="I1377" s="49"/>
      <c r="J1377" s="49"/>
      <c r="K1377" s="49"/>
      <c r="L1377" s="49"/>
      <c r="M1377" s="49"/>
      <c r="N1377" s="49"/>
      <c r="O1377" s="49"/>
    </row>
    <row r="1378" spans="3:15" ht="19.5" customHeight="1">
      <c r="C1378" s="66"/>
      <c r="D1378" s="64"/>
      <c r="E1378" s="61"/>
      <c r="F1378" s="62"/>
      <c r="G1378" s="61"/>
      <c r="H1378" s="68"/>
      <c r="I1378" s="49"/>
      <c r="J1378" s="49"/>
      <c r="K1378" s="49"/>
      <c r="L1378" s="49"/>
      <c r="M1378" s="49"/>
      <c r="N1378" s="49"/>
      <c r="O1378" s="49"/>
    </row>
    <row r="1379" spans="3:15" ht="19.5" customHeight="1">
      <c r="C1379" s="66"/>
      <c r="D1379" s="64"/>
      <c r="E1379" s="61"/>
      <c r="F1379" s="62"/>
      <c r="G1379" s="61"/>
      <c r="H1379" s="68"/>
      <c r="I1379" s="49"/>
      <c r="J1379" s="49"/>
      <c r="K1379" s="49"/>
      <c r="L1379" s="49"/>
      <c r="M1379" s="49"/>
      <c r="N1379" s="49"/>
      <c r="O1379" s="49"/>
    </row>
    <row r="1380" spans="3:15" ht="19.5" customHeight="1">
      <c r="C1380" s="66"/>
      <c r="D1380" s="64"/>
      <c r="E1380" s="61"/>
      <c r="F1380" s="62"/>
      <c r="G1380" s="61"/>
      <c r="H1380" s="68"/>
      <c r="I1380" s="49"/>
      <c r="J1380" s="49"/>
      <c r="K1380" s="49"/>
      <c r="L1380" s="49"/>
      <c r="M1380" s="49"/>
      <c r="N1380" s="49"/>
      <c r="O1380" s="49"/>
    </row>
    <row r="1381" spans="3:15" ht="19.5" customHeight="1">
      <c r="C1381" s="66"/>
      <c r="D1381" s="64"/>
      <c r="E1381" s="61"/>
      <c r="F1381" s="62"/>
      <c r="G1381" s="61"/>
      <c r="H1381" s="68"/>
      <c r="I1381" s="49"/>
      <c r="J1381" s="49"/>
      <c r="K1381" s="49"/>
      <c r="L1381" s="49"/>
      <c r="M1381" s="49"/>
      <c r="N1381" s="49"/>
      <c r="O1381" s="49"/>
    </row>
    <row r="1382" spans="3:15" ht="19.5" customHeight="1">
      <c r="C1382" s="66"/>
      <c r="D1382" s="64"/>
      <c r="E1382" s="61"/>
      <c r="F1382" s="62"/>
      <c r="G1382" s="61"/>
      <c r="H1382" s="68"/>
      <c r="I1382" s="49"/>
      <c r="J1382" s="49"/>
      <c r="K1382" s="49"/>
      <c r="L1382" s="49"/>
      <c r="M1382" s="49"/>
      <c r="N1382" s="49"/>
      <c r="O1382" s="49"/>
    </row>
    <row r="1383" spans="3:15" ht="19.5" customHeight="1">
      <c r="C1383" s="66"/>
      <c r="D1383" s="64"/>
      <c r="E1383" s="61"/>
      <c r="F1383" s="62"/>
      <c r="G1383" s="61"/>
      <c r="H1383" s="68"/>
      <c r="I1383" s="49"/>
      <c r="J1383" s="49"/>
      <c r="K1383" s="49"/>
      <c r="L1383" s="49"/>
      <c r="M1383" s="49"/>
      <c r="N1383" s="49"/>
      <c r="O1383" s="49"/>
    </row>
    <row r="1384" spans="3:15" ht="19.5" customHeight="1">
      <c r="C1384" s="66"/>
      <c r="D1384" s="64"/>
      <c r="E1384" s="61"/>
      <c r="F1384" s="62"/>
      <c r="G1384" s="61"/>
      <c r="H1384" s="68"/>
      <c r="I1384" s="49"/>
      <c r="J1384" s="49"/>
      <c r="K1384" s="49"/>
      <c r="L1384" s="49"/>
      <c r="M1384" s="49"/>
      <c r="N1384" s="49"/>
      <c r="O1384" s="49"/>
    </row>
    <row r="1385" spans="3:15" ht="19.5" customHeight="1">
      <c r="C1385" s="66"/>
      <c r="D1385" s="64"/>
      <c r="E1385" s="61"/>
      <c r="F1385" s="62"/>
      <c r="G1385" s="61"/>
      <c r="H1385" s="68"/>
      <c r="I1385" s="49"/>
      <c r="J1385" s="49"/>
      <c r="K1385" s="49"/>
      <c r="L1385" s="49"/>
      <c r="M1385" s="49"/>
      <c r="N1385" s="49"/>
      <c r="O1385" s="49"/>
    </row>
    <row r="1386" spans="3:15" ht="19.5" customHeight="1">
      <c r="C1386" s="66"/>
      <c r="D1386" s="64"/>
      <c r="E1386" s="61"/>
      <c r="F1386" s="62"/>
      <c r="G1386" s="61"/>
      <c r="H1386" s="68"/>
      <c r="I1386" s="49"/>
      <c r="J1386" s="49"/>
      <c r="K1386" s="49"/>
      <c r="L1386" s="49"/>
      <c r="M1386" s="49"/>
      <c r="N1386" s="49"/>
      <c r="O1386" s="49"/>
    </row>
    <row r="1387" spans="3:15" ht="19.5" customHeight="1">
      <c r="C1387" s="66"/>
      <c r="D1387" s="64"/>
      <c r="E1387" s="61"/>
      <c r="F1387" s="62"/>
      <c r="G1387" s="61"/>
      <c r="H1387" s="68"/>
      <c r="I1387" s="49"/>
      <c r="J1387" s="49"/>
      <c r="K1387" s="49"/>
      <c r="L1387" s="49"/>
      <c r="M1387" s="49"/>
      <c r="N1387" s="49"/>
      <c r="O1387" s="49"/>
    </row>
    <row r="1388" spans="3:15" ht="19.5" customHeight="1">
      <c r="C1388" s="66"/>
      <c r="D1388" s="64"/>
      <c r="E1388" s="61"/>
      <c r="F1388" s="62"/>
      <c r="G1388" s="61"/>
      <c r="H1388" s="68"/>
      <c r="I1388" s="49"/>
      <c r="J1388" s="49"/>
      <c r="K1388" s="49"/>
      <c r="L1388" s="49"/>
      <c r="M1388" s="49"/>
      <c r="N1388" s="49"/>
      <c r="O1388" s="49"/>
    </row>
    <row r="1389" spans="3:15" ht="19.5" customHeight="1">
      <c r="C1389" s="66"/>
      <c r="D1389" s="64"/>
      <c r="E1389" s="61"/>
      <c r="F1389" s="62"/>
      <c r="G1389" s="61"/>
      <c r="H1389" s="68"/>
      <c r="I1389" s="49"/>
      <c r="J1389" s="49"/>
      <c r="K1389" s="49"/>
      <c r="L1389" s="49"/>
      <c r="M1389" s="49"/>
      <c r="N1389" s="49"/>
      <c r="O1389" s="49"/>
    </row>
    <row r="1390" spans="3:15" ht="19.5" customHeight="1">
      <c r="C1390" s="66"/>
      <c r="D1390" s="64"/>
      <c r="E1390" s="61"/>
      <c r="F1390" s="62"/>
      <c r="G1390" s="61"/>
      <c r="H1390" s="68"/>
      <c r="I1390" s="49"/>
      <c r="J1390" s="49"/>
      <c r="K1390" s="49"/>
      <c r="L1390" s="49"/>
      <c r="M1390" s="49"/>
      <c r="N1390" s="49"/>
      <c r="O1390" s="49"/>
    </row>
    <row r="1391" spans="3:15" ht="19.5" customHeight="1">
      <c r="C1391" s="66"/>
      <c r="D1391" s="64"/>
      <c r="E1391" s="61"/>
      <c r="F1391" s="62"/>
      <c r="G1391" s="61"/>
      <c r="H1391" s="68"/>
      <c r="I1391" s="49"/>
      <c r="J1391" s="49"/>
      <c r="K1391" s="49"/>
      <c r="L1391" s="49"/>
      <c r="M1391" s="49"/>
      <c r="N1391" s="49"/>
      <c r="O1391" s="49"/>
    </row>
    <row r="1392" spans="3:15" ht="19.5" customHeight="1">
      <c r="C1392" s="66"/>
      <c r="D1392" s="64"/>
      <c r="E1392" s="61"/>
      <c r="F1392" s="62"/>
      <c r="G1392" s="61"/>
      <c r="H1392" s="68"/>
      <c r="I1392" s="49"/>
      <c r="J1392" s="49"/>
      <c r="K1392" s="49"/>
      <c r="L1392" s="49"/>
      <c r="M1392" s="49"/>
      <c r="N1392" s="49"/>
      <c r="O1392" s="49"/>
    </row>
    <row r="1393" spans="3:15" ht="19.5" customHeight="1">
      <c r="C1393" s="66"/>
      <c r="D1393" s="64"/>
      <c r="E1393" s="61"/>
      <c r="F1393" s="62"/>
      <c r="G1393" s="61"/>
      <c r="H1393" s="68"/>
      <c r="I1393" s="49"/>
      <c r="J1393" s="49"/>
      <c r="K1393" s="49"/>
      <c r="L1393" s="49"/>
      <c r="M1393" s="49"/>
      <c r="N1393" s="49"/>
      <c r="O1393" s="49"/>
    </row>
    <row r="1394" spans="3:15" ht="19.5" customHeight="1">
      <c r="C1394" s="66"/>
      <c r="D1394" s="64"/>
      <c r="E1394" s="61"/>
      <c r="F1394" s="62"/>
      <c r="G1394" s="61"/>
      <c r="H1394" s="68"/>
      <c r="I1394" s="49"/>
      <c r="J1394" s="49"/>
      <c r="K1394" s="49"/>
      <c r="L1394" s="49"/>
      <c r="M1394" s="49"/>
      <c r="N1394" s="49"/>
      <c r="O1394" s="49"/>
    </row>
    <row r="1395" spans="3:15" ht="19.5" customHeight="1">
      <c r="C1395" s="66"/>
      <c r="D1395" s="64"/>
      <c r="E1395" s="61"/>
      <c r="F1395" s="62"/>
      <c r="G1395" s="61"/>
      <c r="H1395" s="68"/>
      <c r="I1395" s="49"/>
      <c r="J1395" s="49"/>
      <c r="K1395" s="49"/>
      <c r="L1395" s="49"/>
      <c r="M1395" s="49"/>
      <c r="N1395" s="49"/>
      <c r="O1395" s="49"/>
    </row>
    <row r="1396" spans="3:15" ht="19.5" customHeight="1">
      <c r="C1396" s="66"/>
      <c r="D1396" s="64"/>
      <c r="E1396" s="61"/>
      <c r="F1396" s="62"/>
      <c r="G1396" s="61"/>
      <c r="H1396" s="68"/>
      <c r="I1396" s="49"/>
      <c r="J1396" s="49"/>
      <c r="K1396" s="49"/>
      <c r="L1396" s="49"/>
      <c r="M1396" s="49"/>
      <c r="N1396" s="49"/>
      <c r="O1396" s="49"/>
    </row>
    <row r="1397" spans="3:15" ht="19.5" customHeight="1">
      <c r="C1397" s="66"/>
      <c r="D1397" s="64"/>
      <c r="E1397" s="61"/>
      <c r="F1397" s="62"/>
      <c r="G1397" s="61"/>
      <c r="H1397" s="68"/>
      <c r="I1397" s="49"/>
      <c r="J1397" s="49"/>
      <c r="K1397" s="49"/>
      <c r="L1397" s="49"/>
      <c r="M1397" s="49"/>
      <c r="N1397" s="49"/>
      <c r="O1397" s="49"/>
    </row>
    <row r="1398" spans="3:15" ht="19.5" customHeight="1">
      <c r="C1398" s="66"/>
      <c r="D1398" s="64"/>
      <c r="E1398" s="61"/>
      <c r="F1398" s="62"/>
      <c r="G1398" s="61"/>
      <c r="H1398" s="68"/>
      <c r="I1398" s="49"/>
      <c r="J1398" s="49"/>
      <c r="K1398" s="49"/>
      <c r="L1398" s="49"/>
      <c r="M1398" s="49"/>
      <c r="N1398" s="49"/>
      <c r="O1398" s="49"/>
    </row>
    <row r="1399" spans="3:15" ht="19.5" customHeight="1">
      <c r="C1399" s="66"/>
      <c r="D1399" s="64"/>
      <c r="E1399" s="61"/>
      <c r="F1399" s="62"/>
      <c r="G1399" s="61"/>
      <c r="H1399" s="68"/>
      <c r="I1399" s="49"/>
      <c r="J1399" s="49"/>
      <c r="K1399" s="49"/>
      <c r="L1399" s="49"/>
      <c r="M1399" s="49"/>
      <c r="N1399" s="49"/>
      <c r="O1399" s="49"/>
    </row>
    <row r="1400" spans="3:15" ht="19.5" customHeight="1">
      <c r="C1400" s="66"/>
      <c r="D1400" s="64"/>
      <c r="E1400" s="61"/>
      <c r="F1400" s="62"/>
      <c r="G1400" s="61"/>
      <c r="H1400" s="68"/>
      <c r="I1400" s="49"/>
      <c r="J1400" s="49"/>
      <c r="K1400" s="49"/>
      <c r="L1400" s="49"/>
      <c r="M1400" s="49"/>
      <c r="N1400" s="49"/>
      <c r="O1400" s="49"/>
    </row>
    <row r="1401" spans="3:15" ht="19.5" customHeight="1">
      <c r="C1401" s="66"/>
      <c r="D1401" s="64"/>
      <c r="E1401" s="61"/>
      <c r="F1401" s="62"/>
      <c r="G1401" s="61"/>
      <c r="H1401" s="68"/>
      <c r="I1401" s="49"/>
      <c r="J1401" s="49"/>
      <c r="K1401" s="49"/>
      <c r="L1401" s="49"/>
      <c r="M1401" s="49"/>
      <c r="N1401" s="49"/>
      <c r="O1401" s="49"/>
    </row>
    <row r="1402" spans="3:15" ht="19.5" customHeight="1">
      <c r="C1402" s="66"/>
      <c r="D1402" s="64"/>
      <c r="E1402" s="61"/>
      <c r="F1402" s="62"/>
      <c r="G1402" s="61"/>
      <c r="H1402" s="68"/>
      <c r="I1402" s="49"/>
      <c r="J1402" s="49"/>
      <c r="K1402" s="49"/>
      <c r="L1402" s="49"/>
      <c r="M1402" s="49"/>
      <c r="N1402" s="49"/>
      <c r="O1402" s="49"/>
    </row>
    <row r="1403" spans="3:15" ht="19.5" customHeight="1">
      <c r="C1403" s="66"/>
      <c r="D1403" s="64"/>
      <c r="E1403" s="61"/>
      <c r="F1403" s="62"/>
      <c r="G1403" s="61"/>
      <c r="H1403" s="68"/>
      <c r="I1403" s="49"/>
      <c r="J1403" s="49"/>
      <c r="K1403" s="49"/>
      <c r="L1403" s="49"/>
      <c r="M1403" s="49"/>
      <c r="N1403" s="49"/>
      <c r="O1403" s="49"/>
    </row>
    <row r="1404" spans="3:15" ht="19.5" customHeight="1">
      <c r="C1404" s="66"/>
      <c r="D1404" s="64"/>
      <c r="E1404" s="61"/>
      <c r="F1404" s="62"/>
      <c r="G1404" s="61"/>
      <c r="H1404" s="68"/>
      <c r="I1404" s="49"/>
      <c r="J1404" s="49"/>
      <c r="K1404" s="49"/>
      <c r="L1404" s="49"/>
      <c r="M1404" s="49"/>
      <c r="N1404" s="49"/>
      <c r="O1404" s="49"/>
    </row>
    <row r="1405" spans="3:15" ht="19.5" customHeight="1">
      <c r="C1405" s="66"/>
      <c r="D1405" s="64"/>
      <c r="E1405" s="61"/>
      <c r="F1405" s="62"/>
      <c r="G1405" s="61"/>
      <c r="H1405" s="68"/>
      <c r="I1405" s="49"/>
      <c r="J1405" s="49"/>
      <c r="K1405" s="49"/>
      <c r="L1405" s="49"/>
      <c r="M1405" s="49"/>
      <c r="N1405" s="49"/>
      <c r="O1405" s="49"/>
    </row>
    <row r="1406" spans="3:15" ht="19.5" customHeight="1">
      <c r="C1406" s="66"/>
      <c r="D1406" s="64"/>
      <c r="E1406" s="61"/>
      <c r="F1406" s="62"/>
      <c r="G1406" s="61"/>
      <c r="H1406" s="68"/>
      <c r="I1406" s="49"/>
      <c r="J1406" s="49"/>
      <c r="K1406" s="49"/>
      <c r="L1406" s="49"/>
      <c r="M1406" s="49"/>
      <c r="N1406" s="49"/>
      <c r="O1406" s="49"/>
    </row>
    <row r="1407" spans="3:15" ht="19.5" customHeight="1">
      <c r="C1407" s="66"/>
      <c r="D1407" s="64"/>
      <c r="E1407" s="61"/>
      <c r="F1407" s="62"/>
      <c r="G1407" s="61"/>
      <c r="H1407" s="68"/>
      <c r="I1407" s="49"/>
      <c r="J1407" s="49"/>
      <c r="K1407" s="49"/>
      <c r="L1407" s="49"/>
      <c r="M1407" s="49"/>
      <c r="N1407" s="49"/>
      <c r="O1407" s="49"/>
    </row>
    <row r="1408" spans="3:15" ht="19.5" customHeight="1">
      <c r="C1408" s="66"/>
      <c r="D1408" s="64"/>
      <c r="E1408" s="61"/>
      <c r="F1408" s="62"/>
      <c r="G1408" s="61"/>
      <c r="H1408" s="68"/>
      <c r="I1408" s="49"/>
      <c r="J1408" s="49"/>
      <c r="K1408" s="49"/>
      <c r="L1408" s="49"/>
      <c r="M1408" s="49"/>
      <c r="N1408" s="49"/>
      <c r="O1408" s="49"/>
    </row>
    <row r="1409" spans="3:15" ht="19.5" customHeight="1">
      <c r="C1409" s="66"/>
      <c r="D1409" s="64"/>
      <c r="E1409" s="61"/>
      <c r="F1409" s="62"/>
      <c r="G1409" s="61"/>
      <c r="H1409" s="68"/>
      <c r="I1409" s="49"/>
      <c r="J1409" s="49"/>
      <c r="K1409" s="49"/>
      <c r="L1409" s="49"/>
      <c r="M1409" s="49"/>
      <c r="N1409" s="49"/>
      <c r="O1409" s="49"/>
    </row>
    <row r="1410" spans="3:15" ht="19.5" customHeight="1">
      <c r="C1410" s="66"/>
      <c r="D1410" s="64"/>
      <c r="E1410" s="61"/>
      <c r="F1410" s="62"/>
      <c r="G1410" s="61"/>
      <c r="H1410" s="68"/>
      <c r="I1410" s="49"/>
      <c r="J1410" s="49"/>
      <c r="K1410" s="49"/>
      <c r="L1410" s="49"/>
      <c r="M1410" s="49"/>
      <c r="N1410" s="49"/>
      <c r="O1410" s="49"/>
    </row>
    <row r="1411" spans="3:15" ht="19.5" customHeight="1">
      <c r="C1411" s="66"/>
      <c r="D1411" s="64"/>
      <c r="E1411" s="61"/>
      <c r="F1411" s="62"/>
      <c r="G1411" s="61"/>
      <c r="H1411" s="68"/>
      <c r="I1411" s="49"/>
      <c r="J1411" s="49"/>
      <c r="K1411" s="49"/>
      <c r="L1411" s="49"/>
      <c r="M1411" s="49"/>
      <c r="N1411" s="49"/>
      <c r="O1411" s="49"/>
    </row>
    <row r="1412" spans="3:15" ht="19.5" customHeight="1">
      <c r="C1412" s="66"/>
      <c r="D1412" s="64"/>
      <c r="E1412" s="61"/>
      <c r="F1412" s="62"/>
      <c r="G1412" s="61"/>
      <c r="H1412" s="68"/>
      <c r="I1412" s="49"/>
      <c r="J1412" s="49"/>
      <c r="K1412" s="49"/>
      <c r="L1412" s="49"/>
      <c r="M1412" s="49"/>
      <c r="N1412" s="49"/>
      <c r="O1412" s="49"/>
    </row>
    <row r="1413" spans="3:15" ht="19.5" customHeight="1">
      <c r="C1413" s="66"/>
      <c r="D1413" s="64"/>
      <c r="E1413" s="61"/>
      <c r="F1413" s="62"/>
      <c r="G1413" s="61"/>
      <c r="H1413" s="68"/>
      <c r="I1413" s="49"/>
      <c r="J1413" s="49"/>
      <c r="K1413" s="49"/>
      <c r="L1413" s="49"/>
      <c r="M1413" s="49"/>
      <c r="N1413" s="49"/>
      <c r="O1413" s="49"/>
    </row>
    <row r="1414" spans="3:15" ht="19.5" customHeight="1">
      <c r="C1414" s="66"/>
      <c r="D1414" s="64"/>
      <c r="E1414" s="61"/>
      <c r="F1414" s="62"/>
      <c r="G1414" s="61"/>
      <c r="H1414" s="68"/>
      <c r="I1414" s="49"/>
      <c r="J1414" s="49"/>
      <c r="K1414" s="49"/>
      <c r="L1414" s="49"/>
      <c r="M1414" s="49"/>
      <c r="N1414" s="49"/>
      <c r="O1414" s="49"/>
    </row>
    <row r="1415" spans="3:15" ht="19.5" customHeight="1">
      <c r="C1415" s="66"/>
      <c r="D1415" s="64"/>
      <c r="E1415" s="61"/>
      <c r="F1415" s="62"/>
      <c r="G1415" s="61"/>
      <c r="H1415" s="68"/>
      <c r="I1415" s="49"/>
      <c r="J1415" s="49"/>
      <c r="K1415" s="49"/>
      <c r="L1415" s="49"/>
      <c r="M1415" s="49"/>
      <c r="N1415" s="49"/>
      <c r="O1415" s="49"/>
    </row>
    <row r="1416" spans="3:15" ht="19.5" customHeight="1">
      <c r="I1416" s="49"/>
      <c r="J1416" s="49"/>
      <c r="K1416" s="49"/>
      <c r="L1416" s="49"/>
      <c r="M1416" s="49"/>
      <c r="N1416" s="49"/>
      <c r="O1416" s="49"/>
    </row>
    <row r="1417" spans="3:15" ht="19.5" customHeight="1">
      <c r="I1417" s="49"/>
      <c r="J1417" s="49"/>
      <c r="K1417" s="49"/>
      <c r="L1417" s="49"/>
      <c r="M1417" s="49"/>
      <c r="N1417" s="49"/>
      <c r="O1417" s="49"/>
    </row>
    <row r="1418" spans="3:15" ht="19.5" customHeight="1">
      <c r="I1418" s="49"/>
      <c r="J1418" s="49"/>
      <c r="K1418" s="49"/>
      <c r="L1418" s="49"/>
      <c r="M1418" s="49"/>
      <c r="N1418" s="49"/>
      <c r="O1418" s="49"/>
    </row>
    <row r="1419" spans="3:15" ht="19.5" customHeight="1">
      <c r="I1419" s="49"/>
      <c r="J1419" s="49"/>
      <c r="K1419" s="49"/>
      <c r="L1419" s="49"/>
      <c r="M1419" s="49"/>
      <c r="N1419" s="49"/>
      <c r="O1419" s="49"/>
    </row>
    <row r="1420" spans="3:15" ht="19.5" customHeight="1">
      <c r="I1420" s="49"/>
      <c r="J1420" s="49"/>
      <c r="K1420" s="49"/>
      <c r="L1420" s="49"/>
      <c r="M1420" s="49"/>
      <c r="N1420" s="49"/>
      <c r="O1420" s="49"/>
    </row>
    <row r="1421" spans="3:15" ht="19.5" customHeight="1">
      <c r="I1421" s="49"/>
      <c r="J1421" s="49"/>
      <c r="K1421" s="49"/>
      <c r="L1421" s="49"/>
      <c r="M1421" s="49"/>
      <c r="N1421" s="49"/>
      <c r="O1421" s="49"/>
    </row>
    <row r="1422" spans="3:15" ht="19.5" customHeight="1">
      <c r="I1422" s="49"/>
      <c r="J1422" s="49"/>
      <c r="K1422" s="49"/>
      <c r="L1422" s="49"/>
      <c r="M1422" s="49"/>
      <c r="N1422" s="49"/>
      <c r="O1422" s="49"/>
    </row>
    <row r="1423" spans="3:15" ht="19.5" customHeight="1">
      <c r="I1423" s="49"/>
      <c r="J1423" s="49"/>
      <c r="K1423" s="49"/>
      <c r="L1423" s="49"/>
      <c r="M1423" s="49"/>
      <c r="N1423" s="49"/>
      <c r="O1423" s="49"/>
    </row>
    <row r="1424" spans="3:15" ht="19.5" customHeight="1">
      <c r="I1424" s="49"/>
      <c r="J1424" s="49"/>
      <c r="K1424" s="49"/>
      <c r="L1424" s="49"/>
      <c r="M1424" s="49"/>
      <c r="N1424" s="49"/>
      <c r="O1424" s="49"/>
    </row>
    <row r="1425" spans="9:15" ht="19.5" customHeight="1">
      <c r="I1425" s="49"/>
      <c r="J1425" s="49"/>
      <c r="K1425" s="49"/>
      <c r="L1425" s="49"/>
      <c r="M1425" s="49"/>
      <c r="N1425" s="49"/>
      <c r="O1425" s="49"/>
    </row>
    <row r="1426" spans="9:15" ht="19.5" customHeight="1">
      <c r="I1426" s="49"/>
      <c r="J1426" s="49"/>
      <c r="K1426" s="49"/>
      <c r="L1426" s="49"/>
      <c r="M1426" s="49"/>
      <c r="N1426" s="49"/>
      <c r="O1426" s="49"/>
    </row>
    <row r="1427" spans="9:15" ht="19.5" customHeight="1">
      <c r="I1427" s="49"/>
      <c r="J1427" s="49"/>
      <c r="K1427" s="49"/>
      <c r="L1427" s="49"/>
      <c r="M1427" s="49"/>
      <c r="N1427" s="49"/>
      <c r="O1427" s="49"/>
    </row>
    <row r="1428" spans="9:15" ht="19.5" customHeight="1">
      <c r="I1428" s="49"/>
      <c r="J1428" s="49"/>
      <c r="K1428" s="49"/>
      <c r="L1428" s="49"/>
      <c r="M1428" s="49"/>
      <c r="N1428" s="49"/>
      <c r="O1428" s="49"/>
    </row>
    <row r="1429" spans="9:15" ht="19.5" customHeight="1">
      <c r="I1429" s="49"/>
      <c r="J1429" s="49"/>
      <c r="K1429" s="49"/>
      <c r="L1429" s="49"/>
      <c r="M1429" s="49"/>
      <c r="N1429" s="49"/>
      <c r="O1429" s="49"/>
    </row>
    <row r="1430" spans="9:15" ht="19.5" customHeight="1">
      <c r="I1430" s="49"/>
      <c r="J1430" s="49"/>
      <c r="K1430" s="49"/>
      <c r="L1430" s="49"/>
      <c r="M1430" s="49"/>
      <c r="N1430" s="49"/>
      <c r="O1430" s="49"/>
    </row>
    <row r="1431" spans="9:15" ht="19.5" customHeight="1">
      <c r="I1431" s="49"/>
      <c r="J1431" s="49"/>
      <c r="K1431" s="49"/>
      <c r="L1431" s="49"/>
      <c r="M1431" s="49"/>
      <c r="N1431" s="49"/>
      <c r="O1431" s="49"/>
    </row>
    <row r="1432" spans="9:15" ht="19.5" customHeight="1">
      <c r="I1432" s="49"/>
      <c r="J1432" s="49"/>
      <c r="K1432" s="49"/>
      <c r="L1432" s="49"/>
      <c r="M1432" s="49"/>
      <c r="N1432" s="49"/>
      <c r="O1432" s="49"/>
    </row>
    <row r="1433" spans="9:15" ht="19.5" customHeight="1">
      <c r="I1433" s="49"/>
      <c r="J1433" s="49"/>
      <c r="K1433" s="49"/>
      <c r="L1433" s="49"/>
      <c r="M1433" s="49"/>
      <c r="N1433" s="49"/>
      <c r="O1433" s="49"/>
    </row>
    <row r="1434" spans="9:15" ht="19.5" customHeight="1">
      <c r="I1434" s="49"/>
      <c r="J1434" s="49"/>
      <c r="K1434" s="49"/>
      <c r="L1434" s="49"/>
      <c r="M1434" s="49"/>
      <c r="N1434" s="49"/>
      <c r="O1434" s="49"/>
    </row>
    <row r="1435" spans="9:15" ht="19.5" customHeight="1">
      <c r="I1435" s="49"/>
      <c r="J1435" s="49"/>
      <c r="K1435" s="49"/>
      <c r="L1435" s="49"/>
      <c r="M1435" s="49"/>
      <c r="N1435" s="49"/>
      <c r="O1435" s="49"/>
    </row>
    <row r="1436" spans="9:15" ht="19.5" customHeight="1">
      <c r="I1436" s="49"/>
      <c r="J1436" s="49"/>
      <c r="K1436" s="49"/>
      <c r="L1436" s="49"/>
      <c r="M1436" s="49"/>
      <c r="N1436" s="49"/>
      <c r="O1436" s="49"/>
    </row>
    <row r="1437" spans="9:15" ht="19.5" customHeight="1">
      <c r="I1437" s="49"/>
      <c r="J1437" s="49"/>
      <c r="K1437" s="49"/>
      <c r="L1437" s="49"/>
      <c r="M1437" s="49"/>
      <c r="N1437" s="49"/>
      <c r="O1437" s="49"/>
    </row>
    <row r="1438" spans="9:15" ht="19.5" customHeight="1">
      <c r="I1438" s="49"/>
      <c r="J1438" s="49"/>
      <c r="K1438" s="49"/>
      <c r="L1438" s="49"/>
      <c r="M1438" s="49"/>
      <c r="N1438" s="49"/>
      <c r="O1438" s="49"/>
    </row>
    <row r="1439" spans="9:15" ht="19.5" customHeight="1">
      <c r="I1439" s="49"/>
      <c r="J1439" s="49"/>
      <c r="K1439" s="49"/>
      <c r="L1439" s="49"/>
      <c r="M1439" s="49"/>
      <c r="N1439" s="49"/>
      <c r="O1439" s="49"/>
    </row>
    <row r="1440" spans="9:15" ht="19.5" customHeight="1">
      <c r="I1440" s="49"/>
      <c r="J1440" s="49"/>
      <c r="K1440" s="49"/>
      <c r="L1440" s="49"/>
      <c r="M1440" s="49"/>
      <c r="N1440" s="49"/>
      <c r="O1440" s="49"/>
    </row>
    <row r="1441" spans="9:15" ht="19.5" customHeight="1">
      <c r="I1441" s="49"/>
      <c r="J1441" s="49"/>
      <c r="K1441" s="49"/>
      <c r="L1441" s="49"/>
      <c r="M1441" s="49"/>
      <c r="N1441" s="49"/>
      <c r="O1441" s="49"/>
    </row>
    <row r="1442" spans="9:15" ht="19.5" customHeight="1">
      <c r="I1442" s="49"/>
      <c r="J1442" s="49"/>
      <c r="K1442" s="49"/>
      <c r="L1442" s="49"/>
      <c r="M1442" s="49"/>
      <c r="N1442" s="49"/>
      <c r="O1442" s="49"/>
    </row>
    <row r="1443" spans="9:15" ht="19.5" customHeight="1">
      <c r="I1443" s="49"/>
      <c r="J1443" s="49"/>
      <c r="K1443" s="49"/>
      <c r="L1443" s="49"/>
      <c r="M1443" s="49"/>
      <c r="N1443" s="49"/>
      <c r="O1443" s="49"/>
    </row>
    <row r="1444" spans="9:15" ht="19.5" customHeight="1">
      <c r="I1444" s="49"/>
      <c r="J1444" s="49"/>
      <c r="K1444" s="49"/>
      <c r="L1444" s="49"/>
      <c r="M1444" s="49"/>
      <c r="N1444" s="49"/>
      <c r="O1444" s="49"/>
    </row>
    <row r="1445" spans="9:15" ht="19.5" customHeight="1">
      <c r="I1445" s="49"/>
      <c r="J1445" s="49"/>
      <c r="K1445" s="49"/>
      <c r="L1445" s="49"/>
      <c r="M1445" s="49"/>
      <c r="N1445" s="49"/>
      <c r="O1445" s="49"/>
    </row>
    <row r="1446" spans="9:15" ht="19.5" customHeight="1">
      <c r="I1446" s="49"/>
      <c r="J1446" s="49"/>
      <c r="K1446" s="49"/>
      <c r="L1446" s="49"/>
      <c r="M1446" s="49"/>
      <c r="N1446" s="49"/>
      <c r="O1446" s="49"/>
    </row>
    <row r="1447" spans="9:15" ht="19.5" customHeight="1">
      <c r="I1447" s="49"/>
      <c r="J1447" s="49"/>
      <c r="K1447" s="49"/>
      <c r="L1447" s="49"/>
      <c r="M1447" s="49"/>
      <c r="N1447" s="49"/>
      <c r="O1447" s="49"/>
    </row>
    <row r="1448" spans="9:15" ht="19.5" customHeight="1">
      <c r="I1448" s="49"/>
      <c r="J1448" s="49"/>
      <c r="K1448" s="49"/>
      <c r="L1448" s="49"/>
      <c r="M1448" s="49"/>
      <c r="N1448" s="49"/>
      <c r="O1448" s="49"/>
    </row>
    <row r="1449" spans="9:15" ht="19.5" customHeight="1">
      <c r="I1449" s="49"/>
      <c r="J1449" s="49"/>
      <c r="K1449" s="49"/>
      <c r="L1449" s="49"/>
      <c r="M1449" s="49"/>
      <c r="N1449" s="49"/>
      <c r="O1449" s="49"/>
    </row>
    <row r="1450" spans="9:15" ht="19.5" customHeight="1">
      <c r="I1450" s="49"/>
      <c r="J1450" s="49"/>
      <c r="K1450" s="49"/>
      <c r="L1450" s="49"/>
      <c r="M1450" s="49"/>
      <c r="N1450" s="49"/>
      <c r="O1450" s="49"/>
    </row>
    <row r="1451" spans="9:15" ht="19.5" customHeight="1">
      <c r="I1451" s="49"/>
      <c r="J1451" s="49"/>
      <c r="K1451" s="49"/>
      <c r="L1451" s="49"/>
      <c r="M1451" s="49"/>
      <c r="N1451" s="49"/>
      <c r="O1451" s="49"/>
    </row>
    <row r="1452" spans="9:15" ht="19.5" customHeight="1">
      <c r="I1452" s="49"/>
      <c r="J1452" s="49"/>
      <c r="K1452" s="49"/>
      <c r="L1452" s="49"/>
      <c r="M1452" s="49"/>
      <c r="N1452" s="49"/>
      <c r="O1452" s="49"/>
    </row>
    <row r="1453" spans="9:15" ht="19.5" customHeight="1">
      <c r="I1453" s="49"/>
      <c r="J1453" s="49"/>
      <c r="K1453" s="49"/>
      <c r="L1453" s="49"/>
      <c r="M1453" s="49"/>
      <c r="N1453" s="49"/>
      <c r="O1453" s="49"/>
    </row>
    <row r="1454" spans="9:15" ht="19.5" customHeight="1">
      <c r="I1454" s="49"/>
      <c r="J1454" s="49"/>
      <c r="K1454" s="49"/>
      <c r="L1454" s="49"/>
      <c r="M1454" s="49"/>
      <c r="N1454" s="49"/>
      <c r="O1454" s="49"/>
    </row>
    <row r="1455" spans="9:15" ht="19.5" customHeight="1">
      <c r="I1455" s="49"/>
      <c r="J1455" s="49"/>
      <c r="K1455" s="49"/>
      <c r="L1455" s="49"/>
      <c r="M1455" s="49"/>
      <c r="N1455" s="49"/>
      <c r="O1455" s="49"/>
    </row>
    <row r="1456" spans="9:15" ht="19.5" customHeight="1">
      <c r="I1456" s="49"/>
      <c r="J1456" s="49"/>
      <c r="K1456" s="49"/>
      <c r="L1456" s="49"/>
      <c r="M1456" s="49"/>
      <c r="N1456" s="49"/>
      <c r="O1456" s="49"/>
    </row>
    <row r="1457" spans="9:15" ht="19.5" customHeight="1">
      <c r="I1457" s="49"/>
      <c r="J1457" s="49"/>
      <c r="K1457" s="49"/>
      <c r="L1457" s="49"/>
      <c r="M1457" s="49"/>
      <c r="N1457" s="49"/>
      <c r="O1457" s="49"/>
    </row>
    <row r="1458" spans="9:15" ht="19.5" customHeight="1">
      <c r="I1458" s="49"/>
      <c r="J1458" s="49"/>
      <c r="K1458" s="49"/>
      <c r="L1458" s="49"/>
      <c r="M1458" s="49"/>
      <c r="N1458" s="49"/>
      <c r="O1458" s="49"/>
    </row>
    <row r="1459" spans="9:15" ht="19.5" customHeight="1">
      <c r="I1459" s="49"/>
      <c r="J1459" s="49"/>
      <c r="K1459" s="49"/>
      <c r="L1459" s="49"/>
      <c r="M1459" s="49"/>
      <c r="N1459" s="49"/>
      <c r="O1459" s="49"/>
    </row>
    <row r="1460" spans="9:15" ht="19.5" customHeight="1">
      <c r="I1460" s="49"/>
      <c r="J1460" s="49"/>
      <c r="K1460" s="49"/>
      <c r="L1460" s="49"/>
      <c r="M1460" s="49"/>
      <c r="N1460" s="49"/>
      <c r="O1460" s="49"/>
    </row>
    <row r="1461" spans="9:15" ht="19.5" customHeight="1">
      <c r="I1461" s="49"/>
      <c r="J1461" s="49"/>
      <c r="K1461" s="49"/>
      <c r="L1461" s="49"/>
      <c r="M1461" s="49"/>
      <c r="N1461" s="49"/>
      <c r="O1461" s="49"/>
    </row>
    <row r="1462" spans="9:15" ht="19.5" customHeight="1">
      <c r="I1462" s="49"/>
      <c r="J1462" s="49"/>
      <c r="K1462" s="49"/>
      <c r="L1462" s="49"/>
      <c r="M1462" s="49"/>
      <c r="N1462" s="49"/>
      <c r="O1462" s="49"/>
    </row>
    <row r="1463" spans="9:15" ht="19.5" customHeight="1">
      <c r="I1463" s="49"/>
      <c r="J1463" s="49"/>
      <c r="K1463" s="49"/>
      <c r="L1463" s="49"/>
      <c r="M1463" s="49"/>
      <c r="N1463" s="49"/>
      <c r="O1463" s="49"/>
    </row>
    <row r="1464" spans="9:15" ht="19.5" customHeight="1">
      <c r="I1464" s="49"/>
      <c r="J1464" s="49"/>
      <c r="K1464" s="49"/>
      <c r="L1464" s="49"/>
      <c r="M1464" s="49"/>
      <c r="N1464" s="49"/>
      <c r="O1464" s="49"/>
    </row>
    <row r="1465" spans="9:15" ht="19.5" customHeight="1">
      <c r="I1465" s="49"/>
      <c r="J1465" s="49"/>
      <c r="K1465" s="49"/>
      <c r="L1465" s="49"/>
      <c r="M1465" s="49"/>
      <c r="N1465" s="49"/>
      <c r="O1465" s="49"/>
    </row>
    <row r="1466" spans="9:15" ht="19.5" customHeight="1">
      <c r="I1466" s="49"/>
      <c r="J1466" s="49"/>
      <c r="K1466" s="49"/>
      <c r="L1466" s="49"/>
      <c r="M1466" s="49"/>
      <c r="N1466" s="49"/>
      <c r="O1466" s="49"/>
    </row>
    <row r="1467" spans="9:15" ht="19.5" customHeight="1">
      <c r="I1467" s="49"/>
      <c r="J1467" s="49"/>
      <c r="K1467" s="49"/>
      <c r="L1467" s="49"/>
      <c r="M1467" s="49"/>
      <c r="N1467" s="49"/>
      <c r="O1467" s="49"/>
    </row>
    <row r="1468" spans="9:15" ht="19.5" customHeight="1">
      <c r="I1468" s="49"/>
      <c r="J1468" s="49"/>
      <c r="K1468" s="49"/>
      <c r="L1468" s="49"/>
      <c r="M1468" s="49"/>
      <c r="N1468" s="49"/>
      <c r="O1468" s="49"/>
    </row>
    <row r="1469" spans="9:15" ht="19.5" customHeight="1">
      <c r="I1469" s="49"/>
      <c r="J1469" s="49"/>
      <c r="K1469" s="49"/>
      <c r="L1469" s="49"/>
      <c r="M1469" s="49"/>
      <c r="N1469" s="49"/>
      <c r="O1469" s="49"/>
    </row>
    <row r="1470" spans="9:15" ht="19.5" customHeight="1">
      <c r="I1470" s="49"/>
      <c r="J1470" s="49"/>
      <c r="K1470" s="49"/>
      <c r="L1470" s="49"/>
      <c r="M1470" s="49"/>
      <c r="N1470" s="49"/>
      <c r="O1470" s="49"/>
    </row>
    <row r="1471" spans="9:15" ht="19.5" customHeight="1">
      <c r="I1471" s="49"/>
      <c r="J1471" s="49"/>
      <c r="K1471" s="49"/>
      <c r="L1471" s="49"/>
      <c r="M1471" s="49"/>
      <c r="N1471" s="49"/>
      <c r="O1471" s="49"/>
    </row>
    <row r="1472" spans="9:15" ht="19.5" customHeight="1">
      <c r="I1472" s="49"/>
      <c r="J1472" s="49"/>
      <c r="K1472" s="49"/>
      <c r="L1472" s="49"/>
      <c r="M1472" s="49"/>
      <c r="N1472" s="49"/>
      <c r="O1472" s="49"/>
    </row>
    <row r="1473" spans="9:15" ht="19.5" customHeight="1">
      <c r="I1473" s="49"/>
      <c r="J1473" s="49"/>
      <c r="K1473" s="49"/>
      <c r="L1473" s="49"/>
      <c r="M1473" s="49"/>
      <c r="N1473" s="49"/>
      <c r="O1473" s="49"/>
    </row>
    <row r="1474" spans="9:15" ht="19.5" customHeight="1">
      <c r="I1474" s="49"/>
      <c r="J1474" s="49"/>
      <c r="K1474" s="49"/>
      <c r="L1474" s="49"/>
      <c r="M1474" s="49"/>
      <c r="N1474" s="49"/>
      <c r="O1474" s="49"/>
    </row>
    <row r="1475" spans="9:15" ht="19.5" customHeight="1">
      <c r="I1475" s="49"/>
      <c r="J1475" s="49"/>
      <c r="K1475" s="49"/>
      <c r="L1475" s="49"/>
      <c r="M1475" s="49"/>
      <c r="N1475" s="49"/>
      <c r="O1475" s="49"/>
    </row>
    <row r="1476" spans="9:15" ht="19.5" customHeight="1">
      <c r="I1476" s="49"/>
      <c r="J1476" s="49"/>
      <c r="K1476" s="49"/>
      <c r="L1476" s="49"/>
      <c r="M1476" s="49"/>
      <c r="N1476" s="49"/>
      <c r="O1476" s="49"/>
    </row>
    <row r="1477" spans="9:15" ht="19.5" customHeight="1">
      <c r="I1477" s="49"/>
      <c r="J1477" s="49"/>
      <c r="K1477" s="49"/>
      <c r="L1477" s="49"/>
      <c r="M1477" s="49"/>
      <c r="N1477" s="49"/>
      <c r="O1477" s="49"/>
    </row>
    <row r="1478" spans="9:15" ht="19.5" customHeight="1">
      <c r="I1478" s="49"/>
      <c r="J1478" s="49"/>
      <c r="K1478" s="49"/>
      <c r="L1478" s="49"/>
      <c r="M1478" s="49"/>
      <c r="N1478" s="49"/>
      <c r="O1478" s="49"/>
    </row>
    <row r="1479" spans="9:15" ht="19.5" customHeight="1">
      <c r="I1479" s="49"/>
      <c r="J1479" s="49"/>
      <c r="K1479" s="49"/>
      <c r="L1479" s="49"/>
      <c r="M1479" s="49"/>
      <c r="N1479" s="49"/>
      <c r="O1479" s="49"/>
    </row>
    <row r="1480" spans="9:15" ht="19.5" customHeight="1">
      <c r="I1480" s="49"/>
      <c r="J1480" s="49"/>
      <c r="K1480" s="49"/>
      <c r="L1480" s="49"/>
      <c r="M1480" s="49"/>
      <c r="N1480" s="49"/>
      <c r="O1480" s="49"/>
    </row>
    <row r="1481" spans="9:15" ht="19.5" customHeight="1">
      <c r="I1481" s="49"/>
      <c r="J1481" s="49"/>
      <c r="K1481" s="49"/>
      <c r="L1481" s="49"/>
      <c r="M1481" s="49"/>
      <c r="N1481" s="49"/>
      <c r="O1481" s="49"/>
    </row>
    <row r="1482" spans="9:15" ht="19.5" customHeight="1">
      <c r="I1482" s="49"/>
      <c r="J1482" s="49"/>
      <c r="K1482" s="49"/>
      <c r="L1482" s="49"/>
      <c r="M1482" s="49"/>
      <c r="N1482" s="49"/>
      <c r="O1482" s="49"/>
    </row>
    <row r="1483" spans="9:15" ht="19.5" customHeight="1">
      <c r="I1483" s="49"/>
      <c r="J1483" s="49"/>
      <c r="K1483" s="49"/>
      <c r="L1483" s="49"/>
      <c r="M1483" s="49"/>
      <c r="N1483" s="49"/>
      <c r="O1483" s="49"/>
    </row>
    <row r="1484" spans="9:15" ht="19.5" customHeight="1">
      <c r="I1484" s="49"/>
      <c r="J1484" s="49"/>
      <c r="K1484" s="49"/>
      <c r="L1484" s="49"/>
      <c r="M1484" s="49"/>
      <c r="N1484" s="49"/>
      <c r="O1484" s="49"/>
    </row>
    <row r="1485" spans="9:15" ht="19.5" customHeight="1">
      <c r="I1485" s="49"/>
      <c r="J1485" s="49"/>
      <c r="K1485" s="49"/>
      <c r="L1485" s="49"/>
      <c r="M1485" s="49"/>
      <c r="N1485" s="49"/>
      <c r="O1485" s="49"/>
    </row>
    <row r="1486" spans="9:15" ht="19.5" customHeight="1">
      <c r="I1486" s="49"/>
      <c r="J1486" s="49"/>
      <c r="K1486" s="49"/>
      <c r="L1486" s="49"/>
      <c r="M1486" s="49"/>
      <c r="N1486" s="49"/>
      <c r="O1486" s="49"/>
    </row>
    <row r="1487" spans="9:15" ht="19.5" customHeight="1">
      <c r="I1487" s="49"/>
      <c r="J1487" s="49"/>
      <c r="K1487" s="49"/>
      <c r="L1487" s="49"/>
      <c r="M1487" s="49"/>
      <c r="N1487" s="49"/>
      <c r="O1487" s="49"/>
    </row>
    <row r="1488" spans="9:15" ht="19.5" customHeight="1">
      <c r="I1488" s="49"/>
      <c r="J1488" s="49"/>
      <c r="K1488" s="49"/>
      <c r="L1488" s="49"/>
      <c r="M1488" s="49"/>
      <c r="N1488" s="49"/>
      <c r="O1488" s="49"/>
    </row>
    <row r="1489" spans="9:15" ht="19.5" customHeight="1">
      <c r="I1489" s="49"/>
      <c r="J1489" s="49"/>
      <c r="K1489" s="49"/>
      <c r="L1489" s="49"/>
      <c r="M1489" s="49"/>
      <c r="N1489" s="49"/>
      <c r="O1489" s="49"/>
    </row>
    <row r="1490" spans="9:15" ht="19.5" customHeight="1">
      <c r="I1490" s="49"/>
      <c r="J1490" s="49"/>
      <c r="K1490" s="49"/>
      <c r="L1490" s="49"/>
      <c r="M1490" s="49"/>
      <c r="N1490" s="49"/>
      <c r="O1490" s="49"/>
    </row>
    <row r="1491" spans="9:15" ht="19.5" customHeight="1">
      <c r="I1491" s="49"/>
      <c r="J1491" s="49"/>
      <c r="K1491" s="49"/>
      <c r="L1491" s="49"/>
      <c r="M1491" s="49"/>
      <c r="N1491" s="49"/>
      <c r="O1491" s="49"/>
    </row>
    <row r="1492" spans="9:15" ht="19.5" customHeight="1">
      <c r="I1492" s="49"/>
      <c r="J1492" s="49"/>
      <c r="K1492" s="49"/>
      <c r="L1492" s="49"/>
      <c r="M1492" s="49"/>
      <c r="N1492" s="49"/>
      <c r="O1492" s="49"/>
    </row>
    <row r="1493" spans="9:15" ht="19.5" customHeight="1">
      <c r="I1493" s="49"/>
      <c r="J1493" s="49"/>
      <c r="K1493" s="49"/>
      <c r="L1493" s="49"/>
      <c r="M1493" s="49"/>
      <c r="N1493" s="49"/>
      <c r="O1493" s="49"/>
    </row>
    <row r="1494" spans="9:15" ht="19.5" customHeight="1">
      <c r="I1494" s="49"/>
      <c r="J1494" s="49"/>
      <c r="K1494" s="49"/>
      <c r="L1494" s="49"/>
      <c r="M1494" s="49"/>
      <c r="N1494" s="49"/>
      <c r="O1494" s="49"/>
    </row>
    <row r="1495" spans="9:15" ht="19.5" customHeight="1">
      <c r="I1495" s="49"/>
      <c r="J1495" s="49"/>
      <c r="K1495" s="49"/>
      <c r="L1495" s="49"/>
      <c r="M1495" s="49"/>
      <c r="N1495" s="49"/>
      <c r="O1495" s="49"/>
    </row>
    <row r="1496" spans="9:15" ht="19.5" customHeight="1">
      <c r="I1496" s="49"/>
      <c r="J1496" s="49"/>
      <c r="K1496" s="49"/>
      <c r="L1496" s="49"/>
      <c r="M1496" s="49"/>
      <c r="N1496" s="49"/>
      <c r="O1496" s="49"/>
    </row>
    <row r="1497" spans="9:15" ht="19.5" customHeight="1">
      <c r="I1497" s="49"/>
      <c r="J1497" s="49"/>
      <c r="K1497" s="49"/>
      <c r="L1497" s="49"/>
      <c r="M1497" s="49"/>
      <c r="N1497" s="49"/>
      <c r="O1497" s="49"/>
    </row>
    <row r="1498" spans="9:15" ht="19.5" customHeight="1">
      <c r="I1498" s="49"/>
      <c r="J1498" s="49"/>
      <c r="K1498" s="49"/>
      <c r="L1498" s="49"/>
      <c r="M1498" s="49"/>
      <c r="N1498" s="49"/>
      <c r="O1498" s="49"/>
    </row>
    <row r="1499" spans="9:15" ht="19.5" customHeight="1">
      <c r="I1499" s="49"/>
      <c r="J1499" s="49"/>
      <c r="K1499" s="49"/>
      <c r="L1499" s="49"/>
      <c r="M1499" s="49"/>
      <c r="N1499" s="49"/>
      <c r="O1499" s="49"/>
    </row>
    <row r="1500" spans="9:15" ht="19.5" customHeight="1">
      <c r="I1500" s="49"/>
      <c r="J1500" s="49"/>
      <c r="K1500" s="49"/>
      <c r="L1500" s="49"/>
      <c r="M1500" s="49"/>
      <c r="N1500" s="49"/>
      <c r="O1500" s="49"/>
    </row>
    <row r="1501" spans="9:15" ht="19.5" customHeight="1">
      <c r="I1501" s="49"/>
      <c r="J1501" s="49"/>
      <c r="K1501" s="49"/>
      <c r="L1501" s="49"/>
      <c r="M1501" s="49"/>
      <c r="N1501" s="49"/>
      <c r="O1501" s="49"/>
    </row>
    <row r="1502" spans="9:15" ht="19.5" customHeight="1">
      <c r="I1502" s="49"/>
      <c r="J1502" s="49"/>
      <c r="K1502" s="49"/>
      <c r="L1502" s="49"/>
      <c r="M1502" s="49"/>
      <c r="N1502" s="49"/>
      <c r="O1502" s="49"/>
    </row>
    <row r="1503" spans="9:15" ht="19.5" customHeight="1">
      <c r="I1503" s="49"/>
      <c r="J1503" s="49"/>
      <c r="K1503" s="49"/>
      <c r="L1503" s="49"/>
      <c r="M1503" s="49"/>
      <c r="N1503" s="49"/>
      <c r="O1503" s="49"/>
    </row>
    <row r="1504" spans="9:15" ht="19.5" customHeight="1">
      <c r="I1504" s="49"/>
      <c r="J1504" s="49"/>
      <c r="K1504" s="49"/>
      <c r="L1504" s="49"/>
      <c r="M1504" s="49"/>
      <c r="N1504" s="49"/>
      <c r="O1504" s="49"/>
    </row>
    <row r="1505" spans="9:15" ht="19.5" customHeight="1">
      <c r="I1505" s="49"/>
      <c r="J1505" s="49"/>
      <c r="K1505" s="49"/>
      <c r="L1505" s="49"/>
      <c r="M1505" s="49"/>
      <c r="N1505" s="49"/>
      <c r="O1505" s="49"/>
    </row>
    <row r="1506" spans="9:15" ht="19.5" customHeight="1">
      <c r="I1506" s="49"/>
      <c r="J1506" s="49"/>
      <c r="K1506" s="49"/>
      <c r="L1506" s="49"/>
      <c r="M1506" s="49"/>
      <c r="N1506" s="49"/>
      <c r="O1506" s="49"/>
    </row>
    <row r="1507" spans="9:15" ht="19.5" customHeight="1">
      <c r="I1507" s="49"/>
      <c r="J1507" s="49"/>
      <c r="K1507" s="49"/>
      <c r="L1507" s="49"/>
      <c r="M1507" s="49"/>
      <c r="N1507" s="49"/>
      <c r="O1507" s="49"/>
    </row>
    <row r="1508" spans="9:15" ht="19.5" customHeight="1">
      <c r="I1508" s="49"/>
      <c r="J1508" s="49"/>
      <c r="K1508" s="49"/>
      <c r="L1508" s="49"/>
      <c r="M1508" s="49"/>
      <c r="N1508" s="49"/>
      <c r="O1508" s="49"/>
    </row>
    <row r="1509" spans="9:15" ht="19.5" customHeight="1">
      <c r="I1509" s="49"/>
      <c r="J1509" s="49"/>
      <c r="K1509" s="49"/>
      <c r="L1509" s="49"/>
      <c r="M1509" s="49"/>
      <c r="N1509" s="49"/>
      <c r="O1509" s="49"/>
    </row>
    <row r="1510" spans="9:15" ht="19.5" customHeight="1">
      <c r="I1510" s="49"/>
      <c r="J1510" s="49"/>
      <c r="K1510" s="49"/>
      <c r="L1510" s="49"/>
      <c r="M1510" s="49"/>
      <c r="N1510" s="49"/>
      <c r="O1510" s="49"/>
    </row>
    <row r="1511" spans="9:15" ht="19.5" customHeight="1">
      <c r="I1511" s="49"/>
      <c r="J1511" s="49"/>
      <c r="K1511" s="49"/>
      <c r="L1511" s="49"/>
      <c r="M1511" s="49"/>
      <c r="N1511" s="49"/>
      <c r="O1511" s="49"/>
    </row>
    <row r="1512" spans="9:15" ht="19.5" customHeight="1">
      <c r="I1512" s="49"/>
      <c r="J1512" s="49"/>
      <c r="K1512" s="49"/>
      <c r="L1512" s="49"/>
      <c r="M1512" s="49"/>
      <c r="N1512" s="49"/>
      <c r="O1512" s="49"/>
    </row>
    <row r="1513" spans="9:15" ht="19.5" customHeight="1">
      <c r="I1513" s="49"/>
      <c r="J1513" s="49"/>
      <c r="K1513" s="49"/>
      <c r="L1513" s="49"/>
      <c r="M1513" s="49"/>
      <c r="N1513" s="49"/>
      <c r="O1513" s="49"/>
    </row>
    <row r="1514" spans="9:15" ht="19.5" customHeight="1">
      <c r="I1514" s="49"/>
      <c r="J1514" s="49"/>
      <c r="K1514" s="49"/>
      <c r="L1514" s="49"/>
      <c r="M1514" s="49"/>
      <c r="N1514" s="49"/>
      <c r="O1514" s="49"/>
    </row>
    <row r="1515" spans="9:15" ht="19.5" customHeight="1">
      <c r="I1515" s="49"/>
      <c r="J1515" s="49"/>
      <c r="K1515" s="49"/>
      <c r="L1515" s="49"/>
      <c r="M1515" s="49"/>
      <c r="N1515" s="49"/>
      <c r="O1515" s="49"/>
    </row>
    <row r="1516" spans="9:15" ht="19.5" customHeight="1">
      <c r="I1516" s="49"/>
      <c r="J1516" s="49"/>
      <c r="K1516" s="49"/>
      <c r="L1516" s="49"/>
      <c r="M1516" s="49"/>
      <c r="N1516" s="49"/>
      <c r="O1516" s="49"/>
    </row>
    <row r="1517" spans="9:15" ht="19.5" customHeight="1">
      <c r="I1517" s="49"/>
      <c r="J1517" s="49"/>
      <c r="K1517" s="49"/>
      <c r="L1517" s="49"/>
      <c r="M1517" s="49"/>
      <c r="N1517" s="49"/>
      <c r="O1517" s="49"/>
    </row>
    <row r="1518" spans="9:15" ht="19.5" customHeight="1">
      <c r="I1518" s="49"/>
      <c r="J1518" s="49"/>
      <c r="K1518" s="49"/>
      <c r="L1518" s="49"/>
      <c r="M1518" s="49"/>
      <c r="N1518" s="49"/>
      <c r="O1518" s="49"/>
    </row>
    <row r="1519" spans="9:15" ht="19.5" customHeight="1">
      <c r="I1519" s="49"/>
      <c r="J1519" s="49"/>
      <c r="K1519" s="49"/>
      <c r="L1519" s="49"/>
      <c r="M1519" s="49"/>
      <c r="N1519" s="49"/>
      <c r="O1519" s="49"/>
    </row>
    <row r="1520" spans="9:15" ht="19.5" customHeight="1">
      <c r="I1520" s="49"/>
      <c r="J1520" s="49"/>
      <c r="K1520" s="49"/>
      <c r="L1520" s="49"/>
      <c r="M1520" s="49"/>
      <c r="N1520" s="49"/>
      <c r="O1520" s="49"/>
    </row>
    <row r="1521" spans="9:15" ht="19.5" customHeight="1">
      <c r="I1521" s="49"/>
      <c r="J1521" s="49"/>
      <c r="K1521" s="49"/>
      <c r="L1521" s="49"/>
      <c r="M1521" s="49"/>
      <c r="N1521" s="49"/>
      <c r="O1521" s="49"/>
    </row>
    <row r="1522" spans="9:15" ht="19.5" customHeight="1">
      <c r="I1522" s="49"/>
      <c r="J1522" s="49"/>
      <c r="K1522" s="49"/>
      <c r="L1522" s="49"/>
      <c r="M1522" s="49"/>
      <c r="N1522" s="49"/>
      <c r="O1522" s="49"/>
    </row>
    <row r="1523" spans="9:15" ht="19.5" customHeight="1">
      <c r="I1523" s="49"/>
      <c r="J1523" s="49"/>
      <c r="K1523" s="49"/>
      <c r="L1523" s="49"/>
      <c r="M1523" s="49"/>
      <c r="N1523" s="49"/>
      <c r="O1523" s="49"/>
    </row>
    <row r="1524" spans="9:15" ht="19.5" customHeight="1">
      <c r="I1524" s="49"/>
      <c r="J1524" s="49"/>
      <c r="K1524" s="49"/>
      <c r="L1524" s="49"/>
      <c r="M1524" s="49"/>
      <c r="N1524" s="49"/>
      <c r="O1524" s="49"/>
    </row>
    <row r="1525" spans="9:15" ht="19.5" customHeight="1">
      <c r="I1525" s="49"/>
      <c r="J1525" s="49"/>
      <c r="K1525" s="49"/>
      <c r="L1525" s="49"/>
      <c r="M1525" s="49"/>
      <c r="N1525" s="49"/>
      <c r="O1525" s="49"/>
    </row>
    <row r="1526" spans="9:15" ht="19.5" customHeight="1">
      <c r="I1526" s="49"/>
      <c r="J1526" s="49"/>
      <c r="K1526" s="49"/>
      <c r="L1526" s="49"/>
      <c r="M1526" s="49"/>
      <c r="N1526" s="49"/>
      <c r="O1526" s="49"/>
    </row>
    <row r="1527" spans="9:15" ht="19.5" customHeight="1">
      <c r="I1527" s="49"/>
      <c r="J1527" s="49"/>
      <c r="K1527" s="49"/>
      <c r="L1527" s="49"/>
      <c r="M1527" s="49"/>
      <c r="N1527" s="49"/>
      <c r="O1527" s="49"/>
    </row>
    <row r="1528" spans="9:15" ht="19.5" customHeight="1">
      <c r="I1528" s="49"/>
      <c r="J1528" s="49"/>
      <c r="K1528" s="49"/>
      <c r="L1528" s="49"/>
      <c r="M1528" s="49"/>
      <c r="N1528" s="49"/>
      <c r="O1528" s="49"/>
    </row>
    <row r="1529" spans="9:15" ht="19.5" customHeight="1">
      <c r="I1529" s="49"/>
      <c r="J1529" s="49"/>
      <c r="K1529" s="49"/>
      <c r="L1529" s="49"/>
      <c r="M1529" s="49"/>
      <c r="N1529" s="49"/>
      <c r="O1529" s="49"/>
    </row>
    <row r="1530" spans="9:15" ht="19.5" customHeight="1">
      <c r="I1530" s="49"/>
      <c r="J1530" s="49"/>
      <c r="K1530" s="49"/>
      <c r="L1530" s="49"/>
      <c r="M1530" s="49"/>
      <c r="N1530" s="49"/>
      <c r="O1530" s="49"/>
    </row>
    <row r="1531" spans="9:15" ht="19.5" customHeight="1">
      <c r="I1531" s="49"/>
      <c r="J1531" s="49"/>
      <c r="K1531" s="49"/>
      <c r="L1531" s="49"/>
      <c r="M1531" s="49"/>
      <c r="N1531" s="49"/>
      <c r="O1531" s="49"/>
    </row>
    <row r="1532" spans="9:15" ht="19.5" customHeight="1">
      <c r="I1532" s="49"/>
      <c r="J1532" s="49"/>
      <c r="K1532" s="49"/>
      <c r="L1532" s="49"/>
      <c r="M1532" s="49"/>
      <c r="N1532" s="49"/>
      <c r="O1532" s="49"/>
    </row>
    <row r="1533" spans="9:15" ht="19.5" customHeight="1">
      <c r="I1533" s="49"/>
      <c r="J1533" s="49"/>
      <c r="K1533" s="49"/>
      <c r="L1533" s="49"/>
      <c r="M1533" s="49"/>
      <c r="N1533" s="49"/>
      <c r="O1533" s="49"/>
    </row>
    <row r="1534" spans="9:15" ht="19.5" customHeight="1">
      <c r="I1534" s="49"/>
      <c r="J1534" s="49"/>
      <c r="K1534" s="49"/>
      <c r="L1534" s="49"/>
      <c r="M1534" s="49"/>
      <c r="N1534" s="49"/>
      <c r="O1534" s="49"/>
    </row>
    <row r="1535" spans="9:15" ht="19.5" customHeight="1">
      <c r="I1535" s="49"/>
      <c r="J1535" s="49"/>
      <c r="K1535" s="49"/>
      <c r="L1535" s="49"/>
      <c r="M1535" s="49"/>
      <c r="N1535" s="49"/>
      <c r="O1535" s="49"/>
    </row>
    <row r="1536" spans="9:15" ht="19.5" customHeight="1">
      <c r="I1536" s="49"/>
      <c r="J1536" s="49"/>
      <c r="K1536" s="49"/>
      <c r="L1536" s="49"/>
      <c r="M1536" s="49"/>
      <c r="N1536" s="49"/>
      <c r="O1536" s="49"/>
    </row>
    <row r="1537" spans="9:15" ht="19.5" customHeight="1">
      <c r="I1537" s="49"/>
      <c r="J1537" s="49"/>
      <c r="K1537" s="49"/>
      <c r="L1537" s="49"/>
      <c r="M1537" s="49"/>
      <c r="N1537" s="49"/>
      <c r="O1537" s="49"/>
    </row>
    <row r="1538" spans="9:15" ht="19.5" customHeight="1">
      <c r="I1538" s="49"/>
      <c r="J1538" s="49"/>
      <c r="K1538" s="49"/>
      <c r="L1538" s="49"/>
      <c r="M1538" s="49"/>
      <c r="N1538" s="49"/>
      <c r="O1538" s="49"/>
    </row>
    <row r="1539" spans="9:15" ht="19.5" customHeight="1">
      <c r="I1539" s="49"/>
      <c r="J1539" s="49"/>
      <c r="K1539" s="49"/>
      <c r="L1539" s="49"/>
      <c r="M1539" s="49"/>
      <c r="N1539" s="49"/>
      <c r="O1539" s="49"/>
    </row>
    <row r="1540" spans="9:15" ht="19.5" customHeight="1">
      <c r="I1540" s="49"/>
      <c r="J1540" s="49"/>
      <c r="K1540" s="49"/>
      <c r="L1540" s="49"/>
      <c r="M1540" s="49"/>
      <c r="N1540" s="49"/>
      <c r="O1540" s="49"/>
    </row>
    <row r="1541" spans="9:15" ht="19.5" customHeight="1">
      <c r="I1541" s="49"/>
      <c r="J1541" s="49"/>
      <c r="K1541" s="49"/>
      <c r="L1541" s="49"/>
      <c r="M1541" s="49"/>
      <c r="N1541" s="49"/>
      <c r="O1541" s="49"/>
    </row>
    <row r="1542" spans="9:15" ht="19.5" customHeight="1">
      <c r="I1542" s="49"/>
      <c r="J1542" s="49"/>
      <c r="K1542" s="49"/>
      <c r="L1542" s="49"/>
      <c r="M1542" s="49"/>
      <c r="N1542" s="49"/>
      <c r="O1542" s="49"/>
    </row>
    <row r="1543" spans="9:15" ht="19.5" customHeight="1">
      <c r="I1543" s="49"/>
      <c r="J1543" s="49"/>
      <c r="K1543" s="49"/>
      <c r="L1543" s="49"/>
      <c r="M1543" s="49"/>
      <c r="N1543" s="49"/>
      <c r="O1543" s="49"/>
    </row>
    <row r="1544" spans="9:15" ht="19.5" customHeight="1">
      <c r="I1544" s="49"/>
      <c r="J1544" s="49"/>
      <c r="K1544" s="49"/>
      <c r="L1544" s="49"/>
      <c r="M1544" s="49"/>
      <c r="N1544" s="49"/>
      <c r="O1544" s="49"/>
    </row>
    <row r="1545" spans="9:15" ht="19.5" customHeight="1">
      <c r="I1545" s="49"/>
      <c r="J1545" s="49"/>
      <c r="K1545" s="49"/>
      <c r="L1545" s="49"/>
      <c r="M1545" s="49"/>
      <c r="N1545" s="49"/>
      <c r="O1545" s="49"/>
    </row>
    <row r="1546" spans="9:15" ht="19.5" customHeight="1">
      <c r="I1546" s="49"/>
      <c r="J1546" s="49"/>
      <c r="K1546" s="49"/>
      <c r="L1546" s="49"/>
      <c r="M1546" s="49"/>
      <c r="N1546" s="49"/>
      <c r="O1546" s="49"/>
    </row>
    <row r="1547" spans="9:15" ht="19.5" customHeight="1">
      <c r="I1547" s="49"/>
      <c r="J1547" s="49"/>
      <c r="K1547" s="49"/>
      <c r="L1547" s="49"/>
      <c r="M1547" s="49"/>
      <c r="N1547" s="49"/>
      <c r="O1547" s="49"/>
    </row>
    <row r="1548" spans="9:15" ht="19.5" customHeight="1">
      <c r="I1548" s="49"/>
      <c r="J1548" s="49"/>
      <c r="K1548" s="49"/>
      <c r="L1548" s="49"/>
      <c r="M1548" s="49"/>
      <c r="N1548" s="49"/>
      <c r="O1548" s="49"/>
    </row>
    <row r="1549" spans="9:15" ht="19.5" customHeight="1">
      <c r="I1549" s="49"/>
      <c r="J1549" s="49"/>
      <c r="K1549" s="49"/>
      <c r="L1549" s="49"/>
      <c r="M1549" s="49"/>
      <c r="N1549" s="49"/>
      <c r="O1549" s="49"/>
    </row>
    <row r="1550" spans="9:15" ht="19.5" customHeight="1">
      <c r="I1550" s="49"/>
      <c r="J1550" s="49"/>
      <c r="K1550" s="49"/>
      <c r="L1550" s="49"/>
      <c r="M1550" s="49"/>
      <c r="N1550" s="49"/>
      <c r="O1550" s="49"/>
    </row>
    <row r="1551" spans="9:15" ht="19.5" customHeight="1">
      <c r="I1551" s="49"/>
      <c r="J1551" s="49"/>
      <c r="K1551" s="49"/>
      <c r="L1551" s="49"/>
      <c r="M1551" s="49"/>
      <c r="N1551" s="49"/>
      <c r="O1551" s="49"/>
    </row>
    <row r="1552" spans="9:15" ht="19.5" customHeight="1">
      <c r="I1552" s="49"/>
      <c r="J1552" s="49"/>
      <c r="K1552" s="49"/>
      <c r="L1552" s="49"/>
      <c r="M1552" s="49"/>
      <c r="N1552" s="49"/>
      <c r="O1552" s="49"/>
    </row>
    <row r="1553" spans="9:15" ht="19.5" customHeight="1">
      <c r="I1553" s="49"/>
      <c r="J1553" s="49"/>
      <c r="K1553" s="49"/>
      <c r="L1553" s="49"/>
      <c r="M1553" s="49"/>
      <c r="N1553" s="49"/>
      <c r="O1553" s="49"/>
    </row>
    <row r="1554" spans="9:15" ht="19.5" customHeight="1">
      <c r="I1554" s="49"/>
      <c r="J1554" s="49"/>
      <c r="K1554" s="49"/>
      <c r="L1554" s="49"/>
      <c r="M1554" s="49"/>
      <c r="N1554" s="49"/>
      <c r="O1554" s="49"/>
    </row>
    <row r="1555" spans="9:15" ht="19.5" customHeight="1">
      <c r="I1555" s="49"/>
      <c r="J1555" s="49"/>
      <c r="K1555" s="49"/>
      <c r="L1555" s="49"/>
      <c r="M1555" s="49"/>
      <c r="N1555" s="49"/>
      <c r="O1555" s="49"/>
    </row>
    <row r="1556" spans="9:15" ht="19.5" customHeight="1">
      <c r="I1556" s="49"/>
      <c r="J1556" s="49"/>
      <c r="K1556" s="49"/>
      <c r="L1556" s="49"/>
      <c r="M1556" s="49"/>
      <c r="N1556" s="49"/>
      <c r="O1556" s="49"/>
    </row>
    <row r="1557" spans="9:15" ht="19.5" customHeight="1">
      <c r="I1557" s="49"/>
      <c r="J1557" s="49"/>
      <c r="K1557" s="49"/>
      <c r="L1557" s="49"/>
      <c r="M1557" s="49"/>
      <c r="N1557" s="49"/>
      <c r="O1557" s="49"/>
    </row>
    <row r="1558" spans="9:15" ht="19.5" customHeight="1">
      <c r="I1558" s="49"/>
      <c r="J1558" s="49"/>
      <c r="K1558" s="49"/>
      <c r="L1558" s="49"/>
      <c r="M1558" s="49"/>
      <c r="N1558" s="49"/>
      <c r="O1558" s="49"/>
    </row>
    <row r="1559" spans="9:15" ht="19.5" customHeight="1">
      <c r="I1559" s="49"/>
      <c r="J1559" s="49"/>
      <c r="K1559" s="49"/>
      <c r="L1559" s="49"/>
      <c r="M1559" s="49"/>
      <c r="N1559" s="49"/>
      <c r="O1559" s="49"/>
    </row>
    <row r="1560" spans="9:15" ht="19.5" customHeight="1">
      <c r="I1560" s="49"/>
      <c r="J1560" s="49"/>
      <c r="K1560" s="49"/>
      <c r="L1560" s="49"/>
      <c r="M1560" s="49"/>
      <c r="N1560" s="49"/>
      <c r="O1560" s="49"/>
    </row>
    <row r="1561" spans="9:15" ht="19.5" customHeight="1">
      <c r="I1561" s="49"/>
      <c r="J1561" s="49"/>
      <c r="K1561" s="49"/>
      <c r="L1561" s="49"/>
      <c r="M1561" s="49"/>
      <c r="N1561" s="49"/>
      <c r="O1561" s="49"/>
    </row>
    <row r="1562" spans="9:15" ht="19.5" customHeight="1">
      <c r="I1562" s="49"/>
      <c r="J1562" s="49"/>
      <c r="K1562" s="49"/>
      <c r="L1562" s="49"/>
      <c r="M1562" s="49"/>
      <c r="N1562" s="49"/>
      <c r="O1562" s="49"/>
    </row>
    <row r="1563" spans="9:15" ht="19.5" customHeight="1">
      <c r="I1563" s="49"/>
      <c r="J1563" s="49"/>
      <c r="K1563" s="49"/>
      <c r="L1563" s="49"/>
      <c r="M1563" s="49"/>
      <c r="N1563" s="49"/>
      <c r="O1563" s="49"/>
    </row>
    <row r="1564" spans="9:15" ht="19.5" customHeight="1">
      <c r="I1564" s="49"/>
      <c r="J1564" s="49"/>
      <c r="K1564" s="49"/>
      <c r="L1564" s="49"/>
      <c r="M1564" s="49"/>
      <c r="N1564" s="49"/>
      <c r="O1564" s="49"/>
    </row>
    <row r="1565" spans="9:15" ht="19.5" customHeight="1">
      <c r="I1565" s="49"/>
      <c r="J1565" s="49"/>
      <c r="K1565" s="49"/>
      <c r="L1565" s="49"/>
      <c r="M1565" s="49"/>
      <c r="N1565" s="49"/>
      <c r="O1565" s="49"/>
    </row>
    <row r="1566" spans="9:15" ht="19.5" customHeight="1">
      <c r="I1566" s="49"/>
      <c r="J1566" s="49"/>
      <c r="K1566" s="49"/>
      <c r="L1566" s="49"/>
      <c r="M1566" s="49"/>
      <c r="N1566" s="49"/>
      <c r="O1566" s="49"/>
    </row>
    <row r="1567" spans="9:15" ht="19.5" customHeight="1">
      <c r="I1567" s="49"/>
      <c r="J1567" s="49"/>
      <c r="K1567" s="49"/>
      <c r="L1567" s="49"/>
      <c r="M1567" s="49"/>
      <c r="N1567" s="49"/>
      <c r="O1567" s="49"/>
    </row>
    <row r="1568" spans="9:15" ht="19.5" customHeight="1">
      <c r="I1568" s="49"/>
      <c r="J1568" s="49"/>
      <c r="K1568" s="49"/>
      <c r="L1568" s="49"/>
      <c r="M1568" s="49"/>
      <c r="N1568" s="49"/>
      <c r="O1568" s="49"/>
    </row>
    <row r="1569" spans="9:15" ht="19.5" customHeight="1">
      <c r="I1569" s="49"/>
      <c r="J1569" s="49"/>
      <c r="K1569" s="49"/>
      <c r="L1569" s="49"/>
      <c r="M1569" s="49"/>
      <c r="N1569" s="49"/>
      <c r="O1569" s="49"/>
    </row>
    <row r="1570" spans="9:15" ht="19.5" customHeight="1">
      <c r="I1570" s="49"/>
      <c r="J1570" s="49"/>
      <c r="K1570" s="49"/>
      <c r="L1570" s="49"/>
      <c r="M1570" s="49"/>
      <c r="N1570" s="49"/>
      <c r="O1570" s="49"/>
    </row>
    <row r="1571" spans="9:15" ht="19.5" customHeight="1">
      <c r="I1571" s="49"/>
      <c r="J1571" s="49"/>
      <c r="K1571" s="49"/>
      <c r="L1571" s="49"/>
      <c r="M1571" s="49"/>
      <c r="N1571" s="49"/>
      <c r="O1571" s="49"/>
    </row>
    <row r="1572" spans="9:15" ht="19.5" customHeight="1">
      <c r="I1572" s="49"/>
      <c r="J1572" s="49"/>
      <c r="K1572" s="49"/>
      <c r="L1572" s="49"/>
      <c r="M1572" s="49"/>
      <c r="N1572" s="49"/>
      <c r="O1572" s="49"/>
    </row>
    <row r="1573" spans="9:15" ht="19.5" customHeight="1">
      <c r="I1573" s="49"/>
      <c r="J1573" s="49"/>
      <c r="K1573" s="49"/>
      <c r="L1573" s="49"/>
      <c r="M1573" s="49"/>
      <c r="N1573" s="49"/>
      <c r="O1573" s="49"/>
    </row>
    <row r="1574" spans="9:15" ht="19.5" customHeight="1">
      <c r="I1574" s="49"/>
      <c r="J1574" s="49"/>
      <c r="K1574" s="49"/>
      <c r="L1574" s="49"/>
      <c r="M1574" s="49"/>
      <c r="N1574" s="49"/>
      <c r="O1574" s="49"/>
    </row>
    <row r="1575" spans="9:15" ht="19.5" customHeight="1">
      <c r="I1575" s="49"/>
      <c r="J1575" s="49"/>
      <c r="K1575" s="49"/>
      <c r="L1575" s="49"/>
      <c r="M1575" s="49"/>
      <c r="N1575" s="49"/>
      <c r="O1575" s="49"/>
    </row>
    <row r="1576" spans="9:15" ht="19.5" customHeight="1">
      <c r="I1576" s="49"/>
      <c r="J1576" s="49"/>
      <c r="K1576" s="49"/>
      <c r="L1576" s="49"/>
      <c r="M1576" s="49"/>
      <c r="N1576" s="49"/>
      <c r="O1576" s="49"/>
    </row>
    <row r="1577" spans="9:15" ht="19.5" customHeight="1">
      <c r="I1577" s="49"/>
      <c r="J1577" s="49"/>
      <c r="K1577" s="49"/>
      <c r="L1577" s="49"/>
      <c r="M1577" s="49"/>
      <c r="N1577" s="49"/>
      <c r="O1577" s="49"/>
    </row>
    <row r="1578" spans="9:15" ht="19.5" customHeight="1">
      <c r="I1578" s="49"/>
      <c r="J1578" s="49"/>
      <c r="K1578" s="49"/>
      <c r="L1578" s="49"/>
      <c r="M1578" s="49"/>
      <c r="N1578" s="49"/>
      <c r="O1578" s="49"/>
    </row>
    <row r="1579" spans="9:15" ht="19.5" customHeight="1">
      <c r="I1579" s="49"/>
      <c r="J1579" s="49"/>
      <c r="K1579" s="49"/>
      <c r="L1579" s="49"/>
      <c r="M1579" s="49"/>
      <c r="N1579" s="49"/>
      <c r="O1579" s="49"/>
    </row>
    <row r="1580" spans="9:15" ht="19.5" customHeight="1">
      <c r="I1580" s="49"/>
      <c r="J1580" s="49"/>
      <c r="K1580" s="49"/>
      <c r="L1580" s="49"/>
      <c r="M1580" s="49"/>
      <c r="N1580" s="49"/>
      <c r="O1580" s="49"/>
    </row>
    <row r="1581" spans="9:15" ht="19.5" customHeight="1">
      <c r="I1581" s="49"/>
      <c r="J1581" s="49"/>
      <c r="K1581" s="49"/>
      <c r="L1581" s="49"/>
      <c r="M1581" s="49"/>
      <c r="N1581" s="49"/>
      <c r="O1581" s="49"/>
    </row>
    <row r="1582" spans="9:15" ht="19.5" customHeight="1">
      <c r="I1582" s="49"/>
      <c r="J1582" s="49"/>
      <c r="K1582" s="49"/>
      <c r="L1582" s="49"/>
      <c r="M1582" s="49"/>
      <c r="N1582" s="49"/>
      <c r="O1582" s="49"/>
    </row>
    <row r="1583" spans="9:15" ht="19.5" customHeight="1">
      <c r="I1583" s="49"/>
      <c r="J1583" s="49"/>
      <c r="K1583" s="49"/>
      <c r="L1583" s="49"/>
      <c r="M1583" s="49"/>
      <c r="N1583" s="49"/>
      <c r="O1583" s="49"/>
    </row>
    <row r="1584" spans="9:15" ht="19.5" customHeight="1">
      <c r="I1584" s="49"/>
      <c r="J1584" s="49"/>
      <c r="K1584" s="49"/>
      <c r="L1584" s="49"/>
      <c r="M1584" s="49"/>
      <c r="N1584" s="49"/>
      <c r="O1584" s="49"/>
    </row>
    <row r="1585" spans="9:15" ht="19.5" customHeight="1">
      <c r="I1585" s="49"/>
      <c r="J1585" s="49"/>
      <c r="K1585" s="49"/>
      <c r="L1585" s="49"/>
      <c r="M1585" s="49"/>
      <c r="N1585" s="49"/>
      <c r="O1585" s="49"/>
    </row>
    <row r="1586" spans="9:15" ht="19.5" customHeight="1">
      <c r="I1586" s="49"/>
      <c r="J1586" s="49"/>
      <c r="K1586" s="49"/>
      <c r="L1586" s="49"/>
      <c r="M1586" s="49"/>
      <c r="N1586" s="49"/>
      <c r="O1586" s="49"/>
    </row>
    <row r="1587" spans="9:15" ht="19.5" customHeight="1">
      <c r="I1587" s="49"/>
      <c r="J1587" s="49"/>
      <c r="K1587" s="49"/>
      <c r="L1587" s="49"/>
      <c r="M1587" s="49"/>
      <c r="N1587" s="49"/>
      <c r="O1587" s="49"/>
    </row>
    <row r="1588" spans="9:15" ht="19.5" customHeight="1">
      <c r="I1588" s="49"/>
      <c r="J1588" s="49"/>
      <c r="K1588" s="49"/>
      <c r="L1588" s="49"/>
      <c r="M1588" s="49"/>
      <c r="N1588" s="49"/>
      <c r="O1588" s="49"/>
    </row>
    <row r="1589" spans="9:15" ht="19.5" customHeight="1">
      <c r="I1589" s="49"/>
      <c r="J1589" s="49"/>
      <c r="K1589" s="49"/>
      <c r="L1589" s="49"/>
      <c r="M1589" s="49"/>
      <c r="N1589" s="49"/>
      <c r="O1589" s="49"/>
    </row>
    <row r="1590" spans="9:15" ht="19.5" customHeight="1">
      <c r="I1590" s="49"/>
      <c r="J1590" s="49"/>
      <c r="K1590" s="49"/>
      <c r="L1590" s="49"/>
      <c r="M1590" s="49"/>
      <c r="N1590" s="49"/>
      <c r="O1590" s="49"/>
    </row>
    <row r="1591" spans="9:15" ht="19.5" customHeight="1">
      <c r="I1591" s="49"/>
      <c r="J1591" s="49"/>
      <c r="K1591" s="49"/>
      <c r="L1591" s="49"/>
      <c r="M1591" s="49"/>
      <c r="N1591" s="49"/>
      <c r="O1591" s="49"/>
    </row>
    <row r="1592" spans="9:15" ht="19.5" customHeight="1">
      <c r="I1592" s="49"/>
      <c r="J1592" s="49"/>
      <c r="K1592" s="49"/>
      <c r="L1592" s="49"/>
      <c r="M1592" s="49"/>
      <c r="N1592" s="49"/>
      <c r="O1592" s="49"/>
    </row>
    <row r="1593" spans="9:15" ht="19.5" customHeight="1">
      <c r="I1593" s="49"/>
      <c r="J1593" s="49"/>
      <c r="K1593" s="49"/>
      <c r="L1593" s="49"/>
      <c r="M1593" s="49"/>
      <c r="N1593" s="49"/>
      <c r="O1593" s="49"/>
    </row>
    <row r="1594" spans="9:15" ht="19.5" customHeight="1">
      <c r="I1594" s="49"/>
      <c r="J1594" s="49"/>
      <c r="K1594" s="49"/>
      <c r="L1594" s="49"/>
      <c r="M1594" s="49"/>
      <c r="N1594" s="49"/>
      <c r="O1594" s="49"/>
    </row>
    <row r="1595" spans="9:15" ht="19.5" customHeight="1">
      <c r="I1595" s="49"/>
      <c r="J1595" s="49"/>
      <c r="K1595" s="49"/>
      <c r="L1595" s="49"/>
      <c r="M1595" s="49"/>
      <c r="N1595" s="49"/>
      <c r="O1595" s="49"/>
    </row>
    <row r="1596" spans="9:15" ht="19.5" customHeight="1">
      <c r="I1596" s="49"/>
      <c r="J1596" s="49"/>
      <c r="K1596" s="49"/>
      <c r="L1596" s="49"/>
      <c r="M1596" s="49"/>
      <c r="N1596" s="49"/>
      <c r="O1596" s="49"/>
    </row>
    <row r="1597" spans="9:15" ht="19.5" customHeight="1">
      <c r="I1597" s="49"/>
      <c r="J1597" s="49"/>
      <c r="K1597" s="49"/>
      <c r="L1597" s="49"/>
      <c r="M1597" s="49"/>
      <c r="N1597" s="49"/>
      <c r="O1597" s="49"/>
    </row>
    <row r="1598" spans="9:15" ht="19.5" customHeight="1">
      <c r="I1598" s="49"/>
      <c r="J1598" s="49"/>
      <c r="K1598" s="49"/>
      <c r="L1598" s="49"/>
      <c r="M1598" s="49"/>
      <c r="N1598" s="49"/>
      <c r="O1598" s="49"/>
    </row>
    <row r="1599" spans="9:15" ht="19.5" customHeight="1">
      <c r="I1599" s="49"/>
      <c r="J1599" s="49"/>
      <c r="K1599" s="49"/>
      <c r="L1599" s="49"/>
      <c r="M1599" s="49"/>
      <c r="N1599" s="49"/>
      <c r="O1599" s="49"/>
    </row>
    <row r="1600" spans="9:15" ht="19.5" customHeight="1">
      <c r="I1600" s="49"/>
      <c r="J1600" s="49"/>
      <c r="K1600" s="49"/>
      <c r="L1600" s="49"/>
      <c r="M1600" s="49"/>
      <c r="N1600" s="49"/>
      <c r="O1600" s="49"/>
    </row>
    <row r="1601" spans="9:15" ht="19.5" customHeight="1">
      <c r="I1601" s="49"/>
      <c r="J1601" s="49"/>
      <c r="K1601" s="49"/>
      <c r="L1601" s="49"/>
      <c r="M1601" s="49"/>
      <c r="N1601" s="49"/>
      <c r="O1601" s="49"/>
    </row>
    <row r="1602" spans="9:15" ht="19.5" customHeight="1">
      <c r="I1602" s="49"/>
      <c r="J1602" s="49"/>
      <c r="K1602" s="49"/>
      <c r="L1602" s="49"/>
      <c r="M1602" s="49"/>
      <c r="N1602" s="49"/>
      <c r="O1602" s="49"/>
    </row>
    <row r="1603" spans="9:15" ht="19.5" customHeight="1">
      <c r="I1603" s="49"/>
      <c r="J1603" s="49"/>
      <c r="K1603" s="49"/>
      <c r="L1603" s="49"/>
      <c r="M1603" s="49"/>
      <c r="N1603" s="49"/>
      <c r="O1603" s="49"/>
    </row>
    <row r="1604" spans="9:15" ht="19.5" customHeight="1">
      <c r="I1604" s="49"/>
      <c r="J1604" s="49"/>
      <c r="K1604" s="49"/>
      <c r="L1604" s="49"/>
      <c r="M1604" s="49"/>
      <c r="N1604" s="49"/>
      <c r="O1604" s="49"/>
    </row>
    <row r="1605" spans="9:15" ht="19.5" customHeight="1">
      <c r="I1605" s="49"/>
      <c r="J1605" s="49"/>
      <c r="K1605" s="49"/>
      <c r="L1605" s="49"/>
      <c r="M1605" s="49"/>
      <c r="N1605" s="49"/>
      <c r="O1605" s="49"/>
    </row>
    <row r="1606" spans="9:15" ht="19.5" customHeight="1">
      <c r="I1606" s="49"/>
      <c r="J1606" s="49"/>
      <c r="K1606" s="49"/>
      <c r="L1606" s="49"/>
      <c r="M1606" s="49"/>
      <c r="N1606" s="49"/>
      <c r="O1606" s="49"/>
    </row>
    <row r="1607" spans="9:15" ht="19.5" customHeight="1">
      <c r="I1607" s="49"/>
      <c r="J1607" s="49"/>
      <c r="K1607" s="49"/>
      <c r="L1607" s="49"/>
      <c r="M1607" s="49"/>
      <c r="N1607" s="49"/>
      <c r="O1607" s="49"/>
    </row>
    <row r="1608" spans="9:15" ht="19.5" customHeight="1">
      <c r="I1608" s="49"/>
      <c r="J1608" s="49"/>
      <c r="K1608" s="49"/>
      <c r="L1608" s="49"/>
      <c r="M1608" s="49"/>
      <c r="N1608" s="49"/>
      <c r="O1608" s="49"/>
    </row>
    <row r="1609" spans="9:15" ht="19.5" customHeight="1">
      <c r="I1609" s="49"/>
      <c r="J1609" s="49"/>
      <c r="K1609" s="49"/>
      <c r="L1609" s="49"/>
      <c r="M1609" s="49"/>
      <c r="N1609" s="49"/>
      <c r="O1609" s="49"/>
    </row>
    <row r="1610" spans="9:15" ht="19.5" customHeight="1">
      <c r="I1610" s="49"/>
      <c r="J1610" s="49"/>
      <c r="K1610" s="49"/>
      <c r="L1610" s="49"/>
      <c r="M1610" s="49"/>
      <c r="N1610" s="49"/>
      <c r="O1610" s="49"/>
    </row>
    <row r="1611" spans="9:15" ht="19.5" customHeight="1">
      <c r="I1611" s="49"/>
      <c r="J1611" s="49"/>
      <c r="K1611" s="49"/>
      <c r="L1611" s="49"/>
      <c r="M1611" s="49"/>
      <c r="N1611" s="49"/>
      <c r="O1611" s="49"/>
    </row>
    <row r="1612" spans="9:15" ht="19.5" customHeight="1">
      <c r="I1612" s="49"/>
      <c r="J1612" s="49"/>
      <c r="K1612" s="49"/>
      <c r="L1612" s="49"/>
      <c r="M1612" s="49"/>
      <c r="N1612" s="49"/>
      <c r="O1612" s="49"/>
    </row>
    <row r="1613" spans="9:15" ht="19.5" customHeight="1">
      <c r="I1613" s="49"/>
      <c r="J1613" s="49"/>
      <c r="K1613" s="49"/>
      <c r="L1613" s="49"/>
      <c r="M1613" s="49"/>
      <c r="N1613" s="49"/>
      <c r="O1613" s="49"/>
    </row>
    <row r="1614" spans="9:15" ht="19.5" customHeight="1">
      <c r="I1614" s="49"/>
      <c r="J1614" s="49"/>
      <c r="K1614" s="49"/>
      <c r="L1614" s="49"/>
      <c r="M1614" s="49"/>
      <c r="N1614" s="49"/>
      <c r="O1614" s="49"/>
    </row>
    <row r="1615" spans="9:15" ht="19.5" customHeight="1">
      <c r="I1615" s="49"/>
      <c r="J1615" s="49"/>
      <c r="K1615" s="49"/>
      <c r="L1615" s="49"/>
      <c r="M1615" s="49"/>
      <c r="N1615" s="49"/>
      <c r="O1615" s="49"/>
    </row>
    <row r="1616" spans="9:15" ht="19.5" customHeight="1">
      <c r="I1616" s="49"/>
      <c r="J1616" s="49"/>
      <c r="K1616" s="49"/>
      <c r="L1616" s="49"/>
      <c r="M1616" s="49"/>
      <c r="N1616" s="49"/>
      <c r="O1616" s="49"/>
    </row>
    <row r="1617" spans="9:15" ht="19.5" customHeight="1">
      <c r="I1617" s="49"/>
      <c r="J1617" s="49"/>
      <c r="K1617" s="49"/>
      <c r="L1617" s="49"/>
      <c r="M1617" s="49"/>
      <c r="N1617" s="49"/>
      <c r="O1617" s="49"/>
    </row>
    <row r="1618" spans="9:15" ht="19.5" customHeight="1">
      <c r="I1618" s="49"/>
      <c r="J1618" s="49"/>
      <c r="K1618" s="49"/>
      <c r="L1618" s="49"/>
      <c r="M1618" s="49"/>
      <c r="N1618" s="49"/>
      <c r="O1618" s="49"/>
    </row>
    <row r="1619" spans="9:15" ht="19.5" customHeight="1">
      <c r="I1619" s="49"/>
      <c r="J1619" s="49"/>
      <c r="K1619" s="49"/>
      <c r="L1619" s="49"/>
      <c r="M1619" s="49"/>
      <c r="N1619" s="49"/>
      <c r="O1619" s="49"/>
    </row>
    <row r="1620" spans="9:15" ht="19.5" customHeight="1">
      <c r="I1620" s="49"/>
      <c r="J1620" s="49"/>
      <c r="K1620" s="49"/>
      <c r="L1620" s="49"/>
      <c r="M1620" s="49"/>
      <c r="N1620" s="49"/>
      <c r="O1620" s="49"/>
    </row>
    <row r="1621" spans="9:15" ht="19.5" customHeight="1">
      <c r="I1621" s="49"/>
      <c r="J1621" s="49"/>
      <c r="K1621" s="49"/>
      <c r="L1621" s="49"/>
      <c r="M1621" s="49"/>
      <c r="N1621" s="49"/>
      <c r="O1621" s="49"/>
    </row>
    <row r="1622" spans="9:15" ht="19.5" customHeight="1">
      <c r="I1622" s="49"/>
      <c r="J1622" s="49"/>
      <c r="K1622" s="49"/>
      <c r="L1622" s="49"/>
      <c r="M1622" s="49"/>
      <c r="N1622" s="49"/>
      <c r="O1622" s="49"/>
    </row>
    <row r="1623" spans="9:15" ht="19.5" customHeight="1">
      <c r="I1623" s="49"/>
      <c r="J1623" s="49"/>
      <c r="K1623" s="49"/>
      <c r="L1623" s="49"/>
      <c r="M1623" s="49"/>
      <c r="N1623" s="49"/>
      <c r="O1623" s="49"/>
    </row>
    <row r="1624" spans="9:15" ht="19.5" customHeight="1">
      <c r="I1624" s="49"/>
      <c r="J1624" s="49"/>
      <c r="K1624" s="49"/>
      <c r="L1624" s="49"/>
      <c r="M1624" s="49"/>
      <c r="N1624" s="49"/>
      <c r="O1624" s="49"/>
    </row>
    <row r="1625" spans="9:15" ht="19.5" customHeight="1">
      <c r="I1625" s="49"/>
      <c r="J1625" s="49"/>
      <c r="K1625" s="49"/>
      <c r="L1625" s="49"/>
      <c r="M1625" s="49"/>
      <c r="N1625" s="49"/>
      <c r="O1625" s="49"/>
    </row>
    <row r="1626" spans="9:15" ht="19.5" customHeight="1">
      <c r="I1626" s="49"/>
      <c r="J1626" s="49"/>
      <c r="K1626" s="49"/>
      <c r="L1626" s="49"/>
      <c r="M1626" s="49"/>
      <c r="N1626" s="49"/>
      <c r="O1626" s="49"/>
    </row>
    <row r="1627" spans="9:15" ht="19.5" customHeight="1">
      <c r="I1627" s="49"/>
      <c r="J1627" s="49"/>
      <c r="K1627" s="49"/>
      <c r="L1627" s="49"/>
      <c r="M1627" s="49"/>
      <c r="N1627" s="49"/>
      <c r="O1627" s="49"/>
    </row>
    <row r="1628" spans="9:15" ht="19.5" customHeight="1">
      <c r="I1628" s="49"/>
      <c r="J1628" s="49"/>
      <c r="K1628" s="49"/>
      <c r="L1628" s="49"/>
      <c r="M1628" s="49"/>
      <c r="N1628" s="49"/>
      <c r="O1628" s="49"/>
    </row>
    <row r="1629" spans="9:15" ht="19.5" customHeight="1">
      <c r="I1629" s="49"/>
      <c r="J1629" s="49"/>
      <c r="K1629" s="49"/>
      <c r="L1629" s="49"/>
      <c r="M1629" s="49"/>
      <c r="N1629" s="49"/>
      <c r="O1629" s="49"/>
    </row>
    <row r="1630" spans="9:15" ht="19.5" customHeight="1">
      <c r="I1630" s="49"/>
      <c r="J1630" s="49"/>
      <c r="K1630" s="49"/>
      <c r="L1630" s="49"/>
      <c r="M1630" s="49"/>
      <c r="N1630" s="49"/>
      <c r="O1630" s="49"/>
    </row>
    <row r="1631" spans="9:15" ht="19.5" customHeight="1">
      <c r="I1631" s="49"/>
      <c r="J1631" s="49"/>
      <c r="K1631" s="49"/>
      <c r="L1631" s="49"/>
      <c r="M1631" s="49"/>
      <c r="N1631" s="49"/>
      <c r="O1631" s="49"/>
    </row>
    <row r="1632" spans="9:15" ht="19.5" customHeight="1">
      <c r="I1632" s="49"/>
      <c r="J1632" s="49"/>
      <c r="K1632" s="49"/>
      <c r="L1632" s="49"/>
      <c r="M1632" s="49"/>
      <c r="N1632" s="49"/>
      <c r="O1632" s="49"/>
    </row>
    <row r="1633" spans="9:15" ht="19.5" customHeight="1">
      <c r="I1633" s="49"/>
      <c r="J1633" s="49"/>
      <c r="K1633" s="49"/>
      <c r="L1633" s="49"/>
      <c r="M1633" s="49"/>
      <c r="N1633" s="49"/>
      <c r="O1633" s="49"/>
    </row>
    <row r="1634" spans="9:15" ht="19.5" customHeight="1">
      <c r="I1634" s="49"/>
      <c r="J1634" s="49"/>
      <c r="K1634" s="49"/>
      <c r="L1634" s="49"/>
      <c r="M1634" s="49"/>
      <c r="N1634" s="49"/>
      <c r="O1634" s="49"/>
    </row>
    <row r="1635" spans="9:15" ht="19.5" customHeight="1">
      <c r="I1635" s="49"/>
      <c r="J1635" s="49"/>
      <c r="K1635" s="49"/>
      <c r="L1635" s="49"/>
      <c r="M1635" s="49"/>
      <c r="N1635" s="49"/>
      <c r="O1635" s="49"/>
    </row>
    <row r="1636" spans="9:15" ht="19.5" customHeight="1">
      <c r="I1636" s="49"/>
      <c r="J1636" s="49"/>
      <c r="K1636" s="49"/>
      <c r="L1636" s="49"/>
      <c r="M1636" s="49"/>
      <c r="N1636" s="49"/>
      <c r="O1636" s="49"/>
    </row>
    <row r="1637" spans="9:15" ht="19.5" customHeight="1">
      <c r="I1637" s="49"/>
      <c r="J1637" s="49"/>
      <c r="K1637" s="49"/>
      <c r="L1637" s="49"/>
      <c r="M1637" s="49"/>
      <c r="N1637" s="49"/>
      <c r="O1637" s="49"/>
    </row>
    <row r="1638" spans="9:15" ht="19.5" customHeight="1">
      <c r="I1638" s="49"/>
      <c r="J1638" s="49"/>
      <c r="K1638" s="49"/>
      <c r="L1638" s="49"/>
      <c r="M1638" s="49"/>
      <c r="N1638" s="49"/>
      <c r="O1638" s="49"/>
    </row>
    <row r="1639" spans="9:15" ht="19.5" customHeight="1">
      <c r="I1639" s="49"/>
      <c r="J1639" s="49"/>
      <c r="K1639" s="49"/>
      <c r="L1639" s="49"/>
      <c r="M1639" s="49"/>
      <c r="N1639" s="49"/>
      <c r="O1639" s="49"/>
    </row>
    <row r="1640" spans="9:15" ht="19.5" customHeight="1">
      <c r="I1640" s="49"/>
      <c r="J1640" s="49"/>
      <c r="K1640" s="49"/>
      <c r="L1640" s="49"/>
      <c r="M1640" s="49"/>
      <c r="N1640" s="49"/>
      <c r="O1640" s="49"/>
    </row>
    <row r="1641" spans="9:15" ht="19.5" customHeight="1">
      <c r="I1641" s="49"/>
      <c r="J1641" s="49"/>
      <c r="K1641" s="49"/>
      <c r="L1641" s="49"/>
      <c r="M1641" s="49"/>
      <c r="N1641" s="49"/>
      <c r="O1641" s="49"/>
    </row>
    <row r="1642" spans="9:15" ht="19.5" customHeight="1">
      <c r="I1642" s="49"/>
      <c r="J1642" s="49"/>
      <c r="K1642" s="49"/>
      <c r="L1642" s="49"/>
      <c r="M1642" s="49"/>
      <c r="N1642" s="49"/>
      <c r="O1642" s="49"/>
    </row>
    <row r="1643" spans="9:15" ht="19.5" customHeight="1">
      <c r="I1643" s="49"/>
      <c r="J1643" s="49"/>
      <c r="K1643" s="49"/>
      <c r="L1643" s="49"/>
      <c r="M1643" s="49"/>
      <c r="N1643" s="49"/>
      <c r="O1643" s="49"/>
    </row>
    <row r="1644" spans="9:15" ht="19.5" customHeight="1">
      <c r="I1644" s="49"/>
      <c r="J1644" s="49"/>
      <c r="K1644" s="49"/>
      <c r="L1644" s="49"/>
      <c r="M1644" s="49"/>
      <c r="N1644" s="49"/>
      <c r="O1644" s="49"/>
    </row>
    <row r="1645" spans="9:15" ht="19.5" customHeight="1">
      <c r="I1645" s="49"/>
      <c r="J1645" s="49"/>
      <c r="K1645" s="49"/>
      <c r="L1645" s="49"/>
      <c r="M1645" s="49"/>
      <c r="N1645" s="49"/>
      <c r="O1645" s="49"/>
    </row>
    <row r="1646" spans="9:15" ht="19.5" customHeight="1">
      <c r="I1646" s="49"/>
      <c r="J1646" s="49"/>
      <c r="K1646" s="49"/>
      <c r="L1646" s="49"/>
      <c r="M1646" s="49"/>
      <c r="N1646" s="49"/>
      <c r="O1646" s="49"/>
    </row>
    <row r="1647" spans="9:15" ht="19.5" customHeight="1">
      <c r="I1647" s="49"/>
      <c r="J1647" s="49"/>
      <c r="K1647" s="49"/>
      <c r="L1647" s="49"/>
      <c r="M1647" s="49"/>
      <c r="N1647" s="49"/>
      <c r="O1647" s="49"/>
    </row>
    <row r="1648" spans="9:15" ht="19.5" customHeight="1">
      <c r="I1648" s="49"/>
      <c r="J1648" s="49"/>
      <c r="K1648" s="49"/>
      <c r="L1648" s="49"/>
      <c r="M1648" s="49"/>
      <c r="N1648" s="49"/>
      <c r="O1648" s="49"/>
    </row>
    <row r="1649" spans="9:15" ht="19.5" customHeight="1">
      <c r="I1649" s="49"/>
      <c r="J1649" s="49"/>
      <c r="K1649" s="49"/>
      <c r="L1649" s="49"/>
      <c r="M1649" s="49"/>
      <c r="N1649" s="49"/>
      <c r="O1649" s="49"/>
    </row>
    <row r="1650" spans="9:15" ht="19.5" customHeight="1">
      <c r="I1650" s="49"/>
      <c r="J1650" s="49"/>
      <c r="K1650" s="49"/>
      <c r="L1650" s="49"/>
      <c r="M1650" s="49"/>
      <c r="N1650" s="49"/>
      <c r="O1650" s="49"/>
    </row>
    <row r="1651" spans="9:15" ht="19.5" customHeight="1">
      <c r="I1651" s="49"/>
      <c r="J1651" s="49"/>
      <c r="K1651" s="49"/>
      <c r="L1651" s="49"/>
      <c r="M1651" s="49"/>
      <c r="N1651" s="49"/>
      <c r="O1651" s="49"/>
    </row>
    <row r="1652" spans="9:15" ht="19.5" customHeight="1">
      <c r="I1652" s="49"/>
      <c r="J1652" s="49"/>
      <c r="K1652" s="49"/>
      <c r="L1652" s="49"/>
      <c r="M1652" s="49"/>
      <c r="N1652" s="49"/>
      <c r="O1652" s="49"/>
    </row>
    <row r="1653" spans="9:15" ht="19.5" customHeight="1">
      <c r="I1653" s="49"/>
      <c r="J1653" s="49"/>
      <c r="K1653" s="49"/>
      <c r="L1653" s="49"/>
      <c r="M1653" s="49"/>
      <c r="N1653" s="49"/>
      <c r="O1653" s="49"/>
    </row>
    <row r="1654" spans="9:15" ht="19.5" customHeight="1">
      <c r="I1654" s="49"/>
      <c r="J1654" s="49"/>
      <c r="K1654" s="49"/>
      <c r="L1654" s="49"/>
      <c r="M1654" s="49"/>
      <c r="N1654" s="49"/>
      <c r="O1654" s="49"/>
    </row>
    <row r="1655" spans="9:15" ht="19.5" customHeight="1">
      <c r="I1655" s="49"/>
      <c r="J1655" s="49"/>
      <c r="K1655" s="49"/>
      <c r="L1655" s="49"/>
      <c r="M1655" s="49"/>
      <c r="N1655" s="49"/>
      <c r="O1655" s="49"/>
    </row>
    <row r="1656" spans="9:15" ht="19.5" customHeight="1">
      <c r="I1656" s="49"/>
      <c r="J1656" s="49"/>
      <c r="K1656" s="49"/>
      <c r="L1656" s="49"/>
      <c r="M1656" s="49"/>
      <c r="N1656" s="49"/>
      <c r="O1656" s="49"/>
    </row>
    <row r="1657" spans="9:15" ht="19.5" customHeight="1">
      <c r="I1657" s="49"/>
      <c r="J1657" s="49"/>
      <c r="K1657" s="49"/>
      <c r="L1657" s="49"/>
      <c r="M1657" s="49"/>
      <c r="N1657" s="49"/>
      <c r="O1657" s="49"/>
    </row>
    <row r="1658" spans="9:15" ht="19.5" customHeight="1">
      <c r="I1658" s="49"/>
      <c r="J1658" s="49"/>
      <c r="K1658" s="49"/>
      <c r="L1658" s="49"/>
      <c r="M1658" s="49"/>
      <c r="N1658" s="49"/>
      <c r="O1658" s="49"/>
    </row>
    <row r="1659" spans="9:15" ht="19.5" customHeight="1">
      <c r="I1659" s="49"/>
      <c r="J1659" s="49"/>
      <c r="K1659" s="49"/>
      <c r="L1659" s="49"/>
      <c r="M1659" s="49"/>
      <c r="N1659" s="49"/>
      <c r="O1659" s="49"/>
    </row>
    <row r="1660" spans="9:15" ht="19.5" customHeight="1">
      <c r="I1660" s="49"/>
      <c r="J1660" s="49"/>
      <c r="K1660" s="49"/>
      <c r="L1660" s="49"/>
      <c r="M1660" s="49"/>
      <c r="N1660" s="49"/>
      <c r="O1660" s="49"/>
    </row>
    <row r="1661" spans="9:15" ht="19.5" customHeight="1">
      <c r="I1661" s="49"/>
      <c r="J1661" s="49"/>
      <c r="K1661" s="49"/>
      <c r="L1661" s="49"/>
      <c r="M1661" s="49"/>
      <c r="N1661" s="49"/>
      <c r="O1661" s="49"/>
    </row>
    <row r="1662" spans="9:15" ht="19.5" customHeight="1">
      <c r="I1662" s="49"/>
      <c r="J1662" s="49"/>
      <c r="K1662" s="49"/>
      <c r="L1662" s="49"/>
      <c r="M1662" s="49"/>
      <c r="N1662" s="49"/>
      <c r="O1662" s="49"/>
    </row>
    <row r="1663" spans="9:15" ht="19.5" customHeight="1">
      <c r="I1663" s="49"/>
      <c r="J1663" s="49"/>
      <c r="K1663" s="49"/>
      <c r="L1663" s="49"/>
      <c r="M1663" s="49"/>
      <c r="N1663" s="49"/>
      <c r="O1663" s="49"/>
    </row>
    <row r="1664" spans="9:15" ht="19.5" customHeight="1">
      <c r="I1664" s="49"/>
      <c r="J1664" s="49"/>
      <c r="K1664" s="49"/>
      <c r="L1664" s="49"/>
      <c r="M1664" s="49"/>
      <c r="N1664" s="49"/>
      <c r="O1664" s="49"/>
    </row>
    <row r="1665" spans="9:15" ht="19.5" customHeight="1">
      <c r="I1665" s="49"/>
      <c r="J1665" s="49"/>
      <c r="K1665" s="49"/>
      <c r="L1665" s="49"/>
      <c r="M1665" s="49"/>
      <c r="N1665" s="49"/>
      <c r="O1665" s="49"/>
    </row>
    <row r="1666" spans="9:15" ht="19.5" customHeight="1">
      <c r="I1666" s="49"/>
      <c r="J1666" s="49"/>
      <c r="K1666" s="49"/>
      <c r="L1666" s="49"/>
      <c r="M1666" s="49"/>
      <c r="N1666" s="49"/>
      <c r="O1666" s="49"/>
    </row>
    <row r="1667" spans="9:15" ht="19.5" customHeight="1">
      <c r="I1667" s="49"/>
      <c r="J1667" s="49"/>
      <c r="K1667" s="49"/>
      <c r="L1667" s="49"/>
      <c r="M1667" s="49"/>
      <c r="N1667" s="49"/>
      <c r="O1667" s="49"/>
    </row>
    <row r="1668" spans="9:15" ht="19.5" customHeight="1">
      <c r="I1668" s="49"/>
      <c r="J1668" s="49"/>
      <c r="K1668" s="49"/>
      <c r="L1668" s="49"/>
      <c r="M1668" s="49"/>
      <c r="N1668" s="49"/>
      <c r="O1668" s="49"/>
    </row>
    <row r="1669" spans="9:15" ht="19.5" customHeight="1">
      <c r="I1669" s="49"/>
      <c r="J1669" s="49"/>
      <c r="K1669" s="49"/>
      <c r="L1669" s="49"/>
      <c r="M1669" s="49"/>
      <c r="N1669" s="49"/>
      <c r="O1669" s="49"/>
    </row>
    <row r="1670" spans="9:15" ht="19.5" customHeight="1">
      <c r="I1670" s="49"/>
      <c r="J1670" s="49"/>
      <c r="K1670" s="49"/>
      <c r="L1670" s="49"/>
      <c r="M1670" s="49"/>
      <c r="N1670" s="49"/>
      <c r="O1670" s="49"/>
    </row>
    <row r="1671" spans="9:15" ht="19.5" customHeight="1">
      <c r="I1671" s="49"/>
      <c r="J1671" s="49"/>
      <c r="K1671" s="49"/>
      <c r="L1671" s="49"/>
      <c r="M1671" s="49"/>
      <c r="N1671" s="49"/>
      <c r="O1671" s="49"/>
    </row>
    <row r="1672" spans="9:15" ht="19.5" customHeight="1">
      <c r="I1672" s="49"/>
      <c r="J1672" s="49"/>
      <c r="K1672" s="49"/>
      <c r="L1672" s="49"/>
      <c r="M1672" s="49"/>
      <c r="N1672" s="49"/>
      <c r="O1672" s="49"/>
    </row>
    <row r="1673" spans="9:15" ht="19.5" customHeight="1">
      <c r="I1673" s="49"/>
      <c r="J1673" s="49"/>
      <c r="K1673" s="49"/>
      <c r="L1673" s="49"/>
      <c r="M1673" s="49"/>
      <c r="N1673" s="49"/>
      <c r="O1673" s="49"/>
    </row>
    <row r="1674" spans="9:15" ht="19.5" customHeight="1">
      <c r="I1674" s="49"/>
      <c r="J1674" s="49"/>
      <c r="K1674" s="49"/>
      <c r="L1674" s="49"/>
      <c r="M1674" s="49"/>
      <c r="N1674" s="49"/>
      <c r="O1674" s="49"/>
    </row>
    <row r="1675" spans="9:15" ht="19.5" customHeight="1">
      <c r="I1675" s="49"/>
      <c r="J1675" s="49"/>
      <c r="K1675" s="49"/>
      <c r="L1675" s="49"/>
      <c r="M1675" s="49"/>
      <c r="N1675" s="49"/>
      <c r="O1675" s="49"/>
    </row>
    <row r="1676" spans="9:15" ht="19.5" customHeight="1">
      <c r="I1676" s="49"/>
      <c r="J1676" s="49"/>
      <c r="K1676" s="49"/>
      <c r="L1676" s="49"/>
      <c r="M1676" s="49"/>
      <c r="N1676" s="49"/>
      <c r="O1676" s="49"/>
    </row>
    <row r="1677" spans="9:15" ht="19.5" customHeight="1">
      <c r="I1677" s="49"/>
      <c r="J1677" s="49"/>
      <c r="K1677" s="49"/>
      <c r="L1677" s="49"/>
      <c r="M1677" s="49"/>
      <c r="N1677" s="49"/>
      <c r="O1677" s="49"/>
    </row>
    <row r="1678" spans="9:15" ht="19.5" customHeight="1">
      <c r="I1678" s="49"/>
      <c r="J1678" s="49"/>
      <c r="K1678" s="49"/>
      <c r="L1678" s="49"/>
      <c r="M1678" s="49"/>
      <c r="N1678" s="49"/>
      <c r="O1678" s="49"/>
    </row>
    <row r="1679" spans="9:15" ht="19.5" customHeight="1">
      <c r="I1679" s="49"/>
      <c r="J1679" s="49"/>
      <c r="K1679" s="49"/>
      <c r="L1679" s="49"/>
      <c r="M1679" s="49"/>
      <c r="N1679" s="49"/>
      <c r="O1679" s="49"/>
    </row>
    <row r="1680" spans="9:15" ht="19.5" customHeight="1">
      <c r="I1680" s="49"/>
      <c r="J1680" s="49"/>
      <c r="K1680" s="49"/>
      <c r="L1680" s="49"/>
      <c r="M1680" s="49"/>
      <c r="N1680" s="49"/>
      <c r="O1680" s="49"/>
    </row>
    <row r="1681" spans="9:15" ht="19.5" customHeight="1">
      <c r="I1681" s="49"/>
      <c r="J1681" s="49"/>
      <c r="K1681" s="49"/>
      <c r="L1681" s="49"/>
      <c r="M1681" s="49"/>
      <c r="N1681" s="49"/>
      <c r="O1681" s="49"/>
    </row>
    <row r="1682" spans="9:15" ht="19.5" customHeight="1">
      <c r="I1682" s="49"/>
      <c r="J1682" s="49"/>
      <c r="K1682" s="49"/>
      <c r="L1682" s="49"/>
      <c r="M1682" s="49"/>
      <c r="N1682" s="49"/>
      <c r="O1682" s="49"/>
    </row>
    <row r="1683" spans="9:15" ht="19.5" customHeight="1">
      <c r="I1683" s="49"/>
      <c r="J1683" s="49"/>
      <c r="K1683" s="49"/>
      <c r="L1683" s="49"/>
      <c r="M1683" s="49"/>
      <c r="N1683" s="49"/>
      <c r="O1683" s="49"/>
    </row>
    <row r="1684" spans="9:15" ht="19.5" customHeight="1">
      <c r="I1684" s="49"/>
      <c r="J1684" s="49"/>
      <c r="K1684" s="49"/>
      <c r="L1684" s="49"/>
      <c r="M1684" s="49"/>
      <c r="N1684" s="49"/>
      <c r="O1684" s="49"/>
    </row>
    <row r="1685" spans="9:15" ht="19.5" customHeight="1">
      <c r="I1685" s="49"/>
      <c r="J1685" s="49"/>
      <c r="K1685" s="49"/>
      <c r="L1685" s="49"/>
      <c r="M1685" s="49"/>
      <c r="N1685" s="49"/>
      <c r="O1685" s="49"/>
    </row>
    <row r="1686" spans="9:15" ht="19.5" customHeight="1">
      <c r="I1686" s="49"/>
      <c r="J1686" s="49"/>
      <c r="K1686" s="49"/>
      <c r="L1686" s="49"/>
      <c r="M1686" s="49"/>
      <c r="N1686" s="49"/>
      <c r="O1686" s="49"/>
    </row>
    <row r="1687" spans="9:15" ht="19.5" customHeight="1">
      <c r="I1687" s="49"/>
      <c r="J1687" s="49"/>
      <c r="K1687" s="49"/>
      <c r="L1687" s="49"/>
      <c r="M1687" s="49"/>
      <c r="N1687" s="49"/>
      <c r="O1687" s="49"/>
    </row>
    <row r="1688" spans="9:15" ht="19.5" customHeight="1">
      <c r="I1688" s="49"/>
      <c r="J1688" s="49"/>
      <c r="K1688" s="49"/>
      <c r="L1688" s="49"/>
      <c r="M1688" s="49"/>
      <c r="N1688" s="49"/>
      <c r="O1688" s="49"/>
    </row>
    <row r="1689" spans="9:15" ht="19.5" customHeight="1">
      <c r="I1689" s="49"/>
      <c r="J1689" s="49"/>
      <c r="K1689" s="49"/>
      <c r="L1689" s="49"/>
      <c r="M1689" s="49"/>
      <c r="N1689" s="49"/>
      <c r="O1689" s="49"/>
    </row>
    <row r="1690" spans="9:15" ht="19.5" customHeight="1">
      <c r="I1690" s="49"/>
      <c r="J1690" s="49"/>
      <c r="K1690" s="49"/>
      <c r="L1690" s="49"/>
      <c r="M1690" s="49"/>
      <c r="N1690" s="49"/>
      <c r="O1690" s="49"/>
    </row>
    <row r="1691" spans="9:15" ht="19.5" customHeight="1">
      <c r="I1691" s="49"/>
      <c r="J1691" s="49"/>
      <c r="K1691" s="49"/>
      <c r="L1691" s="49"/>
      <c r="M1691" s="49"/>
      <c r="N1691" s="49"/>
      <c r="O1691" s="49"/>
    </row>
    <row r="1692" spans="9:15" ht="19.5" customHeight="1">
      <c r="I1692" s="49"/>
      <c r="J1692" s="49"/>
      <c r="K1692" s="49"/>
      <c r="L1692" s="49"/>
      <c r="M1692" s="49"/>
      <c r="N1692" s="49"/>
      <c r="O1692" s="49"/>
    </row>
    <row r="1693" spans="9:15" ht="19.5" customHeight="1">
      <c r="I1693" s="49"/>
      <c r="J1693" s="49"/>
      <c r="K1693" s="49"/>
      <c r="L1693" s="49"/>
      <c r="M1693" s="49"/>
      <c r="N1693" s="49"/>
      <c r="O1693" s="49"/>
    </row>
    <row r="1694" spans="9:15" ht="19.5" customHeight="1">
      <c r="I1694" s="49"/>
      <c r="J1694" s="49"/>
      <c r="K1694" s="49"/>
      <c r="L1694" s="49"/>
      <c r="M1694" s="49"/>
      <c r="N1694" s="49"/>
      <c r="O1694" s="49"/>
    </row>
    <row r="1695" spans="9:15" ht="19.5" customHeight="1">
      <c r="I1695" s="49"/>
      <c r="J1695" s="49"/>
      <c r="K1695" s="49"/>
      <c r="L1695" s="49"/>
      <c r="M1695" s="49"/>
      <c r="N1695" s="49"/>
      <c r="O1695" s="49"/>
    </row>
    <row r="1696" spans="9:15" ht="19.5" customHeight="1">
      <c r="I1696" s="49"/>
      <c r="J1696" s="49"/>
      <c r="K1696" s="49"/>
      <c r="L1696" s="49"/>
      <c r="M1696" s="49"/>
      <c r="N1696" s="49"/>
      <c r="O1696" s="49"/>
    </row>
    <row r="1697" spans="9:15" ht="19.5" customHeight="1">
      <c r="I1697" s="49"/>
      <c r="J1697" s="49"/>
      <c r="K1697" s="49"/>
      <c r="L1697" s="49"/>
      <c r="M1697" s="49"/>
      <c r="N1697" s="49"/>
      <c r="O1697" s="49"/>
    </row>
    <row r="1698" spans="9:15" ht="19.5" customHeight="1">
      <c r="I1698" s="49"/>
      <c r="J1698" s="49"/>
      <c r="K1698" s="49"/>
      <c r="L1698" s="49"/>
      <c r="M1698" s="49"/>
      <c r="N1698" s="49"/>
      <c r="O1698" s="49"/>
    </row>
    <row r="1699" spans="9:15" ht="19.5" customHeight="1">
      <c r="I1699" s="49"/>
      <c r="J1699" s="49"/>
      <c r="K1699" s="49"/>
      <c r="L1699" s="49"/>
      <c r="M1699" s="49"/>
      <c r="N1699" s="49"/>
      <c r="O1699" s="49"/>
    </row>
    <row r="1700" spans="9:15" ht="19.5" customHeight="1">
      <c r="I1700" s="49"/>
      <c r="J1700" s="49"/>
      <c r="K1700" s="49"/>
      <c r="L1700" s="49"/>
      <c r="M1700" s="49"/>
      <c r="N1700" s="49"/>
      <c r="O1700" s="49"/>
    </row>
    <row r="1701" spans="9:15" ht="19.5" customHeight="1">
      <c r="I1701" s="49"/>
      <c r="J1701" s="49"/>
      <c r="K1701" s="49"/>
      <c r="L1701" s="49"/>
      <c r="M1701" s="49"/>
      <c r="N1701" s="49"/>
      <c r="O1701" s="49"/>
    </row>
    <row r="1702" spans="9:15" ht="19.5" customHeight="1">
      <c r="I1702" s="49"/>
      <c r="J1702" s="49"/>
      <c r="K1702" s="49"/>
      <c r="L1702" s="49"/>
      <c r="M1702" s="49"/>
      <c r="N1702" s="49"/>
      <c r="O1702" s="49"/>
    </row>
    <row r="1703" spans="9:15" ht="19.5" customHeight="1">
      <c r="I1703" s="49"/>
      <c r="J1703" s="49"/>
      <c r="K1703" s="49"/>
      <c r="L1703" s="49"/>
      <c r="M1703" s="49"/>
      <c r="N1703" s="49"/>
      <c r="O1703" s="49"/>
    </row>
    <row r="1704" spans="9:15" ht="19.5" customHeight="1">
      <c r="I1704" s="49"/>
      <c r="J1704" s="49"/>
      <c r="K1704" s="49"/>
      <c r="L1704" s="49"/>
      <c r="M1704" s="49"/>
      <c r="N1704" s="49"/>
      <c r="O1704" s="49"/>
    </row>
    <row r="1705" spans="9:15" ht="19.5" customHeight="1">
      <c r="I1705" s="49"/>
      <c r="J1705" s="49"/>
      <c r="K1705" s="49"/>
      <c r="L1705" s="49"/>
      <c r="M1705" s="49"/>
      <c r="N1705" s="49"/>
      <c r="O1705" s="49"/>
    </row>
    <row r="1706" spans="9:15" ht="19.5" customHeight="1">
      <c r="I1706" s="49"/>
      <c r="J1706" s="49"/>
      <c r="K1706" s="49"/>
      <c r="L1706" s="49"/>
      <c r="M1706" s="49"/>
      <c r="N1706" s="49"/>
      <c r="O1706" s="49"/>
    </row>
    <row r="1707" spans="9:15" ht="19.5" customHeight="1">
      <c r="I1707" s="49"/>
      <c r="J1707" s="49"/>
      <c r="K1707" s="49"/>
      <c r="L1707" s="49"/>
      <c r="M1707" s="49"/>
      <c r="N1707" s="49"/>
      <c r="O1707" s="49"/>
    </row>
    <row r="1708" spans="9:15" ht="19.5" customHeight="1">
      <c r="I1708" s="49"/>
      <c r="J1708" s="49"/>
      <c r="K1708" s="49"/>
      <c r="L1708" s="49"/>
      <c r="M1708" s="49"/>
      <c r="N1708" s="49"/>
      <c r="O1708" s="49"/>
    </row>
    <row r="1709" spans="9:15" ht="19.5" customHeight="1">
      <c r="I1709" s="49"/>
      <c r="J1709" s="49"/>
      <c r="K1709" s="49"/>
      <c r="L1709" s="49"/>
      <c r="M1709" s="49"/>
      <c r="N1709" s="49"/>
      <c r="O1709" s="49"/>
    </row>
    <row r="1710" spans="9:15" ht="19.5" customHeight="1">
      <c r="I1710" s="49"/>
      <c r="J1710" s="49"/>
      <c r="K1710" s="49"/>
      <c r="L1710" s="49"/>
      <c r="M1710" s="49"/>
      <c r="N1710" s="49"/>
      <c r="O1710" s="49"/>
    </row>
    <row r="1711" spans="9:15" ht="19.5" customHeight="1">
      <c r="I1711" s="49"/>
      <c r="J1711" s="49"/>
      <c r="K1711" s="49"/>
      <c r="L1711" s="49"/>
      <c r="M1711" s="49"/>
      <c r="N1711" s="49"/>
      <c r="O1711" s="49"/>
    </row>
    <row r="1712" spans="9:15" ht="19.5" customHeight="1">
      <c r="I1712" s="49"/>
      <c r="J1712" s="49"/>
      <c r="K1712" s="49"/>
      <c r="L1712" s="49"/>
      <c r="M1712" s="49"/>
      <c r="N1712" s="49"/>
      <c r="O1712" s="49"/>
    </row>
    <row r="1713" spans="9:15" ht="19.5" customHeight="1">
      <c r="I1713" s="49"/>
      <c r="J1713" s="49"/>
      <c r="K1713" s="49"/>
      <c r="L1713" s="49"/>
      <c r="M1713" s="49"/>
      <c r="N1713" s="49"/>
      <c r="O1713" s="49"/>
    </row>
    <row r="1714" spans="9:15" ht="19.5" customHeight="1">
      <c r="I1714" s="49"/>
      <c r="J1714" s="49"/>
      <c r="K1714" s="49"/>
      <c r="L1714" s="49"/>
      <c r="M1714" s="49"/>
      <c r="N1714" s="49"/>
      <c r="O1714" s="49"/>
    </row>
    <row r="1715" spans="9:15" ht="19.5" customHeight="1">
      <c r="I1715" s="49"/>
      <c r="J1715" s="49"/>
      <c r="K1715" s="49"/>
      <c r="L1715" s="49"/>
      <c r="M1715" s="49"/>
      <c r="N1715" s="49"/>
      <c r="O1715" s="49"/>
    </row>
    <row r="1716" spans="9:15" ht="19.5" customHeight="1">
      <c r="I1716" s="49"/>
      <c r="J1716" s="49"/>
      <c r="K1716" s="49"/>
      <c r="L1716" s="49"/>
      <c r="M1716" s="49"/>
      <c r="N1716" s="49"/>
      <c r="O1716" s="49"/>
    </row>
    <row r="1717" spans="9:15" ht="19.5" customHeight="1">
      <c r="I1717" s="49"/>
      <c r="J1717" s="49"/>
      <c r="K1717" s="49"/>
      <c r="L1717" s="49"/>
      <c r="M1717" s="49"/>
      <c r="N1717" s="49"/>
      <c r="O1717" s="49"/>
    </row>
    <row r="1718" spans="9:15" ht="19.5" customHeight="1">
      <c r="I1718" s="49"/>
      <c r="J1718" s="49"/>
      <c r="K1718" s="49"/>
      <c r="L1718" s="49"/>
      <c r="M1718" s="49"/>
      <c r="N1718" s="49"/>
      <c r="O1718" s="49"/>
    </row>
    <row r="1719" spans="9:15" ht="19.5" customHeight="1">
      <c r="I1719" s="49"/>
      <c r="J1719" s="49"/>
      <c r="K1719" s="49"/>
      <c r="L1719" s="49"/>
      <c r="M1719" s="49"/>
      <c r="N1719" s="49"/>
      <c r="O1719" s="49"/>
    </row>
    <row r="1720" spans="9:15" ht="19.5" customHeight="1">
      <c r="I1720" s="49"/>
      <c r="J1720" s="49"/>
      <c r="K1720" s="49"/>
      <c r="L1720" s="49"/>
      <c r="M1720" s="49"/>
      <c r="N1720" s="49"/>
      <c r="O1720" s="49"/>
    </row>
    <row r="1721" spans="9:15" ht="19.5" customHeight="1">
      <c r="I1721" s="49"/>
      <c r="J1721" s="49"/>
      <c r="K1721" s="49"/>
      <c r="L1721" s="49"/>
      <c r="M1721" s="49"/>
      <c r="N1721" s="49"/>
      <c r="O1721" s="49"/>
    </row>
    <row r="1722" spans="9:15" ht="19.5" customHeight="1">
      <c r="I1722" s="49"/>
      <c r="J1722" s="49"/>
      <c r="K1722" s="49"/>
      <c r="L1722" s="49"/>
      <c r="M1722" s="49"/>
      <c r="N1722" s="49"/>
      <c r="O1722" s="49"/>
    </row>
    <row r="1723" spans="9:15" ht="19.5" customHeight="1">
      <c r="I1723" s="49"/>
      <c r="J1723" s="49"/>
      <c r="K1723" s="49"/>
      <c r="L1723" s="49"/>
      <c r="M1723" s="49"/>
      <c r="N1723" s="49"/>
      <c r="O1723" s="49"/>
    </row>
    <row r="1724" spans="9:15" ht="19.5" customHeight="1">
      <c r="I1724" s="49"/>
      <c r="J1724" s="49"/>
      <c r="K1724" s="49"/>
      <c r="L1724" s="49"/>
      <c r="M1724" s="49"/>
      <c r="N1724" s="49"/>
      <c r="O1724" s="49"/>
    </row>
    <row r="1725" spans="9:15" ht="19.5" customHeight="1">
      <c r="I1725" s="49"/>
      <c r="J1725" s="49"/>
      <c r="K1725" s="49"/>
      <c r="L1725" s="49"/>
      <c r="M1725" s="49"/>
      <c r="N1725" s="49"/>
      <c r="O1725" s="49"/>
    </row>
    <row r="1726" spans="9:15" ht="19.5" customHeight="1">
      <c r="I1726" s="49"/>
      <c r="J1726" s="49"/>
      <c r="K1726" s="49"/>
      <c r="L1726" s="49"/>
      <c r="M1726" s="49"/>
      <c r="N1726" s="49"/>
      <c r="O1726" s="49"/>
    </row>
    <row r="1727" spans="9:15" ht="19.5" customHeight="1">
      <c r="I1727" s="49"/>
      <c r="J1727" s="49"/>
      <c r="K1727" s="49"/>
      <c r="L1727" s="49"/>
      <c r="M1727" s="49"/>
      <c r="N1727" s="49"/>
      <c r="O1727" s="49"/>
    </row>
    <row r="1728" spans="9:15" ht="19.5" customHeight="1">
      <c r="I1728" s="49"/>
      <c r="J1728" s="49"/>
      <c r="K1728" s="49"/>
      <c r="L1728" s="49"/>
      <c r="M1728" s="49"/>
      <c r="N1728" s="49"/>
      <c r="O1728" s="49"/>
    </row>
    <row r="1729" spans="9:15" ht="19.5" customHeight="1">
      <c r="I1729" s="49"/>
      <c r="J1729" s="49"/>
      <c r="K1729" s="49"/>
      <c r="L1729" s="49"/>
      <c r="M1729" s="49"/>
      <c r="N1729" s="49"/>
      <c r="O1729" s="49"/>
    </row>
    <row r="1730" spans="9:15" ht="19.5" customHeight="1">
      <c r="I1730" s="49"/>
      <c r="J1730" s="49"/>
      <c r="K1730" s="49"/>
      <c r="L1730" s="49"/>
      <c r="M1730" s="49"/>
      <c r="N1730" s="49"/>
      <c r="O1730" s="49"/>
    </row>
    <row r="1731" spans="9:15" ht="19.5" customHeight="1">
      <c r="I1731" s="49"/>
      <c r="J1731" s="49"/>
      <c r="K1731" s="49"/>
      <c r="L1731" s="49"/>
      <c r="M1731" s="49"/>
      <c r="N1731" s="49"/>
      <c r="O1731" s="49"/>
    </row>
    <row r="1732" spans="9:15" ht="19.5" customHeight="1">
      <c r="I1732" s="49"/>
      <c r="J1732" s="49"/>
      <c r="K1732" s="49"/>
      <c r="L1732" s="49"/>
      <c r="M1732" s="49"/>
      <c r="N1732" s="49"/>
      <c r="O1732" s="49"/>
    </row>
    <row r="1733" spans="9:15" ht="19.5" customHeight="1">
      <c r="I1733" s="49"/>
      <c r="J1733" s="49"/>
      <c r="K1733" s="49"/>
      <c r="L1733" s="49"/>
      <c r="M1733" s="49"/>
      <c r="N1733" s="49"/>
      <c r="O1733" s="49"/>
    </row>
    <row r="1734" spans="9:15" ht="19.5" customHeight="1">
      <c r="I1734" s="49"/>
      <c r="J1734" s="49"/>
      <c r="K1734" s="49"/>
      <c r="L1734" s="49"/>
      <c r="M1734" s="49"/>
      <c r="N1734" s="49"/>
      <c r="O1734" s="49"/>
    </row>
    <row r="1735" spans="9:15" ht="19.5" customHeight="1">
      <c r="I1735" s="49"/>
      <c r="J1735" s="49"/>
      <c r="K1735" s="49"/>
      <c r="L1735" s="49"/>
      <c r="M1735" s="49"/>
      <c r="N1735" s="49"/>
      <c r="O1735" s="49"/>
    </row>
    <row r="1736" spans="9:15" ht="19.5" customHeight="1">
      <c r="I1736" s="49"/>
      <c r="J1736" s="49"/>
      <c r="K1736" s="49"/>
      <c r="L1736" s="49"/>
      <c r="M1736" s="49"/>
      <c r="N1736" s="49"/>
      <c r="O1736" s="49"/>
    </row>
    <row r="1737" spans="9:15" ht="19.5" customHeight="1">
      <c r="I1737" s="49"/>
      <c r="J1737" s="49"/>
      <c r="K1737" s="49"/>
      <c r="L1737" s="49"/>
      <c r="M1737" s="49"/>
      <c r="N1737" s="49"/>
      <c r="O1737" s="49"/>
    </row>
    <row r="1738" spans="9:15" ht="19.5" customHeight="1">
      <c r="I1738" s="49"/>
      <c r="J1738" s="49"/>
      <c r="K1738" s="49"/>
      <c r="L1738" s="49"/>
      <c r="M1738" s="49"/>
      <c r="N1738" s="49"/>
      <c r="O1738" s="49"/>
    </row>
    <row r="1739" spans="9:15" ht="19.5" customHeight="1">
      <c r="I1739" s="49"/>
      <c r="J1739" s="49"/>
      <c r="K1739" s="49"/>
      <c r="L1739" s="49"/>
      <c r="M1739" s="49"/>
      <c r="N1739" s="49"/>
      <c r="O1739" s="49"/>
    </row>
    <row r="1740" spans="9:15" ht="19.5" customHeight="1">
      <c r="I1740" s="49"/>
      <c r="J1740" s="49"/>
      <c r="K1740" s="49"/>
      <c r="L1740" s="49"/>
      <c r="M1740" s="49"/>
      <c r="N1740" s="49"/>
      <c r="O1740" s="49"/>
    </row>
    <row r="1741" spans="9:15" ht="19.5" customHeight="1">
      <c r="I1741" s="49"/>
      <c r="J1741" s="49"/>
      <c r="K1741" s="49"/>
      <c r="L1741" s="49"/>
      <c r="M1741" s="49"/>
      <c r="N1741" s="49"/>
      <c r="O1741" s="49"/>
    </row>
    <row r="1742" spans="9:15" ht="19.5" customHeight="1">
      <c r="I1742" s="49"/>
      <c r="J1742" s="49"/>
      <c r="K1742" s="49"/>
      <c r="L1742" s="49"/>
      <c r="M1742" s="49"/>
      <c r="N1742" s="49"/>
      <c r="O1742" s="49"/>
    </row>
    <row r="1743" spans="9:15" ht="19.5" customHeight="1">
      <c r="I1743" s="49"/>
      <c r="J1743" s="49"/>
      <c r="K1743" s="49"/>
      <c r="L1743" s="49"/>
      <c r="M1743" s="49"/>
      <c r="N1743" s="49"/>
      <c r="O1743" s="49"/>
    </row>
    <row r="1744" spans="9:15" ht="19.5" customHeight="1">
      <c r="I1744" s="49"/>
      <c r="J1744" s="49"/>
      <c r="K1744" s="49"/>
      <c r="L1744" s="49"/>
      <c r="M1744" s="49"/>
      <c r="N1744" s="49"/>
      <c r="O1744" s="49"/>
    </row>
    <row r="1745" spans="9:15" ht="19.5" customHeight="1">
      <c r="I1745" s="49"/>
      <c r="J1745" s="49"/>
      <c r="K1745" s="49"/>
      <c r="L1745" s="49"/>
      <c r="M1745" s="49"/>
      <c r="N1745" s="49"/>
      <c r="O1745" s="49"/>
    </row>
    <row r="1746" spans="9:15" ht="19.5" customHeight="1">
      <c r="I1746" s="49"/>
      <c r="J1746" s="49"/>
      <c r="K1746" s="49"/>
      <c r="L1746" s="49"/>
      <c r="M1746" s="49"/>
      <c r="N1746" s="49"/>
      <c r="O1746" s="49"/>
    </row>
    <row r="1747" spans="9:15" ht="19.5" customHeight="1">
      <c r="I1747" s="49"/>
      <c r="J1747" s="49"/>
      <c r="K1747" s="49"/>
      <c r="L1747" s="49"/>
      <c r="M1747" s="49"/>
      <c r="N1747" s="49"/>
      <c r="O1747" s="49"/>
    </row>
    <row r="1748" spans="9:15" ht="19.5" customHeight="1">
      <c r="I1748" s="49"/>
      <c r="J1748" s="49"/>
      <c r="K1748" s="49"/>
      <c r="L1748" s="49"/>
      <c r="M1748" s="49"/>
      <c r="N1748" s="49"/>
      <c r="O1748" s="49"/>
    </row>
    <row r="1749" spans="9:15" ht="19.5" customHeight="1">
      <c r="I1749" s="49"/>
      <c r="J1749" s="49"/>
      <c r="K1749" s="49"/>
      <c r="L1749" s="49"/>
      <c r="M1749" s="49"/>
      <c r="N1749" s="49"/>
      <c r="O1749" s="49"/>
    </row>
    <row r="1750" spans="9:15" ht="19.5" customHeight="1">
      <c r="I1750" s="49"/>
      <c r="J1750" s="49"/>
      <c r="K1750" s="49"/>
      <c r="L1750" s="49"/>
      <c r="M1750" s="49"/>
      <c r="N1750" s="49"/>
      <c r="O1750" s="49"/>
    </row>
    <row r="1751" spans="9:15" ht="19.5" customHeight="1">
      <c r="I1751" s="49"/>
      <c r="J1751" s="49"/>
      <c r="K1751" s="49"/>
      <c r="L1751" s="49"/>
      <c r="M1751" s="49"/>
      <c r="N1751" s="49"/>
      <c r="O1751" s="49"/>
    </row>
    <row r="1752" spans="9:15" ht="19.5" customHeight="1">
      <c r="I1752" s="49"/>
      <c r="J1752" s="49"/>
      <c r="K1752" s="49"/>
      <c r="L1752" s="49"/>
      <c r="M1752" s="49"/>
      <c r="N1752" s="49"/>
      <c r="O1752" s="49"/>
    </row>
    <row r="1753" spans="9:15" ht="19.5" customHeight="1">
      <c r="I1753" s="49"/>
      <c r="J1753" s="49"/>
      <c r="K1753" s="49"/>
      <c r="L1753" s="49"/>
      <c r="M1753" s="49"/>
      <c r="N1753" s="49"/>
      <c r="O1753" s="49"/>
    </row>
    <row r="1754" spans="9:15" ht="19.5" customHeight="1">
      <c r="I1754" s="49"/>
      <c r="J1754" s="49"/>
      <c r="K1754" s="49"/>
      <c r="L1754" s="49"/>
      <c r="M1754" s="49"/>
      <c r="N1754" s="49"/>
      <c r="O1754" s="49"/>
    </row>
    <row r="1755" spans="9:15" ht="19.5" customHeight="1">
      <c r="I1755" s="49"/>
      <c r="J1755" s="49"/>
      <c r="K1755" s="49"/>
      <c r="L1755" s="49"/>
      <c r="M1755" s="49"/>
      <c r="N1755" s="49"/>
      <c r="O1755" s="49"/>
    </row>
    <row r="1756" spans="9:15" ht="19.5" customHeight="1">
      <c r="I1756" s="49"/>
      <c r="J1756" s="49"/>
      <c r="K1756" s="49"/>
      <c r="L1756" s="49"/>
      <c r="M1756" s="49"/>
      <c r="N1756" s="49"/>
      <c r="O1756" s="49"/>
    </row>
    <row r="1757" spans="9:15" ht="19.5" customHeight="1">
      <c r="I1757" s="49"/>
      <c r="J1757" s="49"/>
      <c r="K1757" s="49"/>
      <c r="L1757" s="49"/>
      <c r="M1757" s="49"/>
      <c r="N1757" s="49"/>
      <c r="O1757" s="49"/>
    </row>
    <row r="1758" spans="9:15" ht="19.5" customHeight="1">
      <c r="I1758" s="49"/>
      <c r="J1758" s="49"/>
      <c r="K1758" s="49"/>
      <c r="L1758" s="49"/>
      <c r="M1758" s="49"/>
      <c r="N1758" s="49"/>
      <c r="O1758" s="49"/>
    </row>
    <row r="1759" spans="9:15" ht="19.5" customHeight="1">
      <c r="I1759" s="49"/>
      <c r="J1759" s="49"/>
      <c r="K1759" s="49"/>
      <c r="L1759" s="49"/>
      <c r="M1759" s="49"/>
      <c r="N1759" s="49"/>
      <c r="O1759" s="49"/>
    </row>
    <row r="1760" spans="9:15" ht="19.5" customHeight="1">
      <c r="I1760" s="49"/>
      <c r="J1760" s="49"/>
      <c r="K1760" s="49"/>
      <c r="L1760" s="49"/>
      <c r="M1760" s="49"/>
      <c r="N1760" s="49"/>
      <c r="O1760" s="49"/>
    </row>
    <row r="1761" spans="9:15" ht="19.5" customHeight="1">
      <c r="I1761" s="49"/>
      <c r="J1761" s="49"/>
      <c r="K1761" s="49"/>
      <c r="L1761" s="49"/>
      <c r="M1761" s="49"/>
      <c r="N1761" s="49"/>
      <c r="O1761" s="49"/>
    </row>
    <row r="1762" spans="9:15" ht="19.5" customHeight="1">
      <c r="I1762" s="49"/>
      <c r="J1762" s="49"/>
      <c r="K1762" s="49"/>
      <c r="L1762" s="49"/>
      <c r="M1762" s="49"/>
      <c r="N1762" s="49"/>
      <c r="O1762" s="49"/>
    </row>
    <row r="1763" spans="9:15" ht="19.5" customHeight="1">
      <c r="I1763" s="49"/>
      <c r="J1763" s="49"/>
      <c r="K1763" s="49"/>
      <c r="L1763" s="49"/>
      <c r="M1763" s="49"/>
      <c r="N1763" s="49"/>
      <c r="O1763" s="49"/>
    </row>
    <row r="1764" spans="9:15" ht="19.5" customHeight="1">
      <c r="I1764" s="49"/>
      <c r="J1764" s="49"/>
      <c r="K1764" s="49"/>
      <c r="L1764" s="49"/>
      <c r="M1764" s="49"/>
      <c r="N1764" s="49"/>
      <c r="O1764" s="49"/>
    </row>
    <row r="1765" spans="9:15" ht="19.5" customHeight="1">
      <c r="I1765" s="49"/>
      <c r="J1765" s="49"/>
      <c r="K1765" s="49"/>
      <c r="L1765" s="49"/>
      <c r="M1765" s="49"/>
      <c r="N1765" s="49"/>
      <c r="O1765" s="49"/>
    </row>
    <row r="1766" spans="9:15" ht="19.5" customHeight="1">
      <c r="I1766" s="49"/>
      <c r="J1766" s="49"/>
      <c r="K1766" s="49"/>
      <c r="L1766" s="49"/>
      <c r="M1766" s="49"/>
      <c r="N1766" s="49"/>
      <c r="O1766" s="49"/>
    </row>
    <row r="1767" spans="9:15" ht="19.5" customHeight="1">
      <c r="I1767" s="49"/>
      <c r="J1767" s="49"/>
      <c r="K1767" s="49"/>
      <c r="L1767" s="49"/>
      <c r="M1767" s="49"/>
      <c r="N1767" s="49"/>
      <c r="O1767" s="49"/>
    </row>
    <row r="1768" spans="9:15" ht="19.5" customHeight="1">
      <c r="I1768" s="49"/>
      <c r="J1768" s="49"/>
      <c r="K1768" s="49"/>
      <c r="L1768" s="49"/>
      <c r="M1768" s="49"/>
      <c r="N1768" s="49"/>
      <c r="O1768" s="49"/>
    </row>
    <row r="1769" spans="9:15" ht="19.5" customHeight="1">
      <c r="I1769" s="49"/>
      <c r="J1769" s="49"/>
      <c r="K1769" s="49"/>
      <c r="L1769" s="49"/>
      <c r="M1769" s="49"/>
      <c r="N1769" s="49"/>
      <c r="O1769" s="49"/>
    </row>
    <row r="1770" spans="9:15" ht="19.5" customHeight="1">
      <c r="I1770" s="49"/>
      <c r="J1770" s="49"/>
      <c r="K1770" s="49"/>
      <c r="L1770" s="49"/>
      <c r="M1770" s="49"/>
      <c r="N1770" s="49"/>
      <c r="O1770" s="49"/>
    </row>
    <row r="1771" spans="9:15" ht="19.5" customHeight="1">
      <c r="I1771" s="49"/>
      <c r="J1771" s="49"/>
      <c r="K1771" s="49"/>
      <c r="L1771" s="49"/>
      <c r="M1771" s="49"/>
      <c r="N1771" s="49"/>
      <c r="O1771" s="49"/>
    </row>
    <row r="1772" spans="9:15" ht="19.5" customHeight="1">
      <c r="I1772" s="49"/>
      <c r="J1772" s="49"/>
      <c r="K1772" s="49"/>
      <c r="L1772" s="49"/>
      <c r="M1772" s="49"/>
      <c r="N1772" s="49"/>
      <c r="O1772" s="49"/>
    </row>
    <row r="1773" spans="9:15" ht="19.5" customHeight="1">
      <c r="I1773" s="49"/>
      <c r="J1773" s="49"/>
      <c r="K1773" s="49"/>
      <c r="L1773" s="49"/>
      <c r="M1773" s="49"/>
      <c r="N1773" s="49"/>
      <c r="O1773" s="49"/>
    </row>
    <row r="1774" spans="9:15" ht="19.5" customHeight="1">
      <c r="I1774" s="49"/>
      <c r="J1774" s="49"/>
      <c r="K1774" s="49"/>
      <c r="L1774" s="49"/>
      <c r="M1774" s="49"/>
      <c r="N1774" s="49"/>
      <c r="O1774" s="49"/>
    </row>
    <row r="1775" spans="9:15" ht="19.5" customHeight="1">
      <c r="I1775" s="49"/>
      <c r="J1775" s="49"/>
      <c r="K1775" s="49"/>
      <c r="L1775" s="49"/>
      <c r="M1775" s="49"/>
      <c r="N1775" s="49"/>
      <c r="O1775" s="49"/>
    </row>
    <row r="1776" spans="9:15" ht="19.5" customHeight="1">
      <c r="I1776" s="49"/>
      <c r="J1776" s="49"/>
      <c r="K1776" s="49"/>
      <c r="L1776" s="49"/>
      <c r="M1776" s="49"/>
      <c r="N1776" s="49"/>
      <c r="O1776" s="49"/>
    </row>
    <row r="1777" spans="9:15" ht="19.5" customHeight="1">
      <c r="I1777" s="49"/>
      <c r="J1777" s="49"/>
      <c r="K1777" s="49"/>
      <c r="L1777" s="49"/>
      <c r="M1777" s="49"/>
      <c r="N1777" s="49"/>
      <c r="O1777" s="49"/>
    </row>
    <row r="1778" spans="9:15" ht="19.5" customHeight="1">
      <c r="I1778" s="49"/>
      <c r="J1778" s="49"/>
      <c r="K1778" s="49"/>
      <c r="L1778" s="49"/>
      <c r="M1778" s="49"/>
      <c r="N1778" s="49"/>
      <c r="O1778" s="49"/>
    </row>
    <row r="1779" spans="9:15" ht="19.5" customHeight="1">
      <c r="I1779" s="49"/>
      <c r="J1779" s="49"/>
      <c r="K1779" s="49"/>
      <c r="L1779" s="49"/>
      <c r="M1779" s="49"/>
      <c r="N1779" s="49"/>
      <c r="O1779" s="49"/>
    </row>
  </sheetData>
  <autoFilter ref="B3:H458">
    <sortState ref="B4:H491">
      <sortCondition ref="C3:C5"/>
    </sortState>
  </autoFilter>
  <phoneticPr fontId="0" type="noConversion"/>
  <printOptions horizontalCentered="1" verticalCentered="1" gridLines="1" gridLinesSet="0"/>
  <pageMargins left="0.15748031496062992" right="0.15748031496062992" top="0.11811023622047245" bottom="0.27559055118110237" header="0.19685039370078741" footer="0.15748031496062992"/>
  <pageSetup paperSize="9" scale="53" fitToHeight="0" orientation="portrait" verticalDpi="597" r:id="rId1"/>
  <headerFooter alignWithMargins="0">
    <oddHeader>&amp;CBaski &amp;T &amp;D&amp;RSayfa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6" sqref="J36"/>
    </sheetView>
  </sheetViews>
  <sheetFormatPr defaultRowHeight="12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9"/>
  <sheetViews>
    <sheetView topLeftCell="A101" workbookViewId="0">
      <selection sqref="A1:XFD124"/>
    </sheetView>
  </sheetViews>
  <sheetFormatPr defaultRowHeight="12.75"/>
  <cols>
    <col min="1" max="1" width="78.42578125" bestFit="1" customWidth="1"/>
  </cols>
  <sheetData>
    <row r="2" spans="1:1" ht="20.100000000000001" customHeight="1">
      <c r="A2" s="11" t="s">
        <v>11</v>
      </c>
    </row>
    <row r="3" spans="1:1" ht="20.100000000000001" customHeight="1">
      <c r="A3" s="12" t="s">
        <v>12</v>
      </c>
    </row>
    <row r="4" spans="1:1" ht="20.100000000000001" customHeight="1">
      <c r="A4" s="12" t="s">
        <v>13</v>
      </c>
    </row>
    <row r="5" spans="1:1" ht="20.100000000000001" customHeight="1">
      <c r="A5" s="13"/>
    </row>
    <row r="6" spans="1:1" ht="20.100000000000001" customHeight="1">
      <c r="A6" s="12" t="s">
        <v>14</v>
      </c>
    </row>
    <row r="7" spans="1:1" ht="20.100000000000001" customHeight="1">
      <c r="A7" s="12" t="s">
        <v>15</v>
      </c>
    </row>
    <row r="8" spans="1:1" ht="20.100000000000001" customHeight="1">
      <c r="A8" s="12" t="s">
        <v>16</v>
      </c>
    </row>
    <row r="9" spans="1:1" ht="20.100000000000001" customHeight="1">
      <c r="A9" s="14" t="s">
        <v>17</v>
      </c>
    </row>
    <row r="10" spans="1:1" ht="20.100000000000001" customHeight="1">
      <c r="A10" s="13"/>
    </row>
    <row r="11" spans="1:1" ht="20.100000000000001" customHeight="1">
      <c r="A11" s="12" t="s">
        <v>18</v>
      </c>
    </row>
    <row r="12" spans="1:1" ht="20.100000000000001" customHeight="1">
      <c r="A12" s="12" t="s">
        <v>19</v>
      </c>
    </row>
    <row r="13" spans="1:1" ht="20.100000000000001" customHeight="1">
      <c r="A13" s="12" t="s">
        <v>20</v>
      </c>
    </row>
    <row r="14" spans="1:1" ht="20.100000000000001" customHeight="1">
      <c r="A14" s="12" t="s">
        <v>21</v>
      </c>
    </row>
    <row r="15" spans="1:1" ht="20.100000000000001" customHeight="1">
      <c r="A15" s="12" t="s">
        <v>22</v>
      </c>
    </row>
    <row r="16" spans="1:1" ht="20.100000000000001" customHeight="1">
      <c r="A16" s="13"/>
    </row>
    <row r="17" spans="1:1" ht="20.100000000000001" customHeight="1">
      <c r="A17" s="12" t="s">
        <v>23</v>
      </c>
    </row>
    <row r="18" spans="1:1" ht="20.100000000000001" customHeight="1">
      <c r="A18" s="12" t="s">
        <v>24</v>
      </c>
    </row>
    <row r="19" spans="1:1" ht="20.100000000000001" customHeight="1">
      <c r="A19" s="12" t="s">
        <v>25</v>
      </c>
    </row>
    <row r="20" spans="1:1" ht="20.100000000000001" customHeight="1">
      <c r="A20" s="12" t="s">
        <v>26</v>
      </c>
    </row>
    <row r="21" spans="1:1" ht="20.100000000000001" customHeight="1">
      <c r="A21" s="15"/>
    </row>
    <row r="22" spans="1:1" ht="20.100000000000001" customHeight="1">
      <c r="A22" s="15"/>
    </row>
    <row r="23" spans="1:1" ht="20.100000000000001" customHeight="1">
      <c r="A23" s="16" t="s">
        <v>27</v>
      </c>
    </row>
    <row r="24" spans="1:1" ht="20.100000000000001" customHeight="1">
      <c r="A24" s="16" t="s">
        <v>28</v>
      </c>
    </row>
    <row r="25" spans="1:1" ht="20.100000000000001" customHeight="1">
      <c r="A25" s="16" t="s">
        <v>29</v>
      </c>
    </row>
    <row r="26" spans="1:1" ht="20.100000000000001" customHeight="1">
      <c r="A26" s="17" t="s">
        <v>30</v>
      </c>
    </row>
    <row r="27" spans="1:1" ht="20.100000000000001" customHeight="1">
      <c r="A27" s="15"/>
    </row>
    <row r="28" spans="1:1" ht="20.100000000000001" customHeight="1">
      <c r="A28" s="16" t="s">
        <v>31</v>
      </c>
    </row>
    <row r="29" spans="1:1" ht="20.100000000000001" customHeight="1">
      <c r="A29" s="16" t="s">
        <v>32</v>
      </c>
    </row>
    <row r="30" spans="1:1" ht="20.100000000000001" customHeight="1">
      <c r="A30" s="16" t="s">
        <v>33</v>
      </c>
    </row>
    <row r="31" spans="1:1" ht="20.100000000000001" customHeight="1">
      <c r="A31" s="16" t="s">
        <v>34</v>
      </c>
    </row>
    <row r="32" spans="1:1" ht="20.100000000000001" customHeight="1">
      <c r="A32" s="15"/>
    </row>
    <row r="33" spans="1:1" ht="20.100000000000001" customHeight="1">
      <c r="A33" s="16" t="s">
        <v>35</v>
      </c>
    </row>
    <row r="34" spans="1:1" ht="20.100000000000001" customHeight="1">
      <c r="A34" s="16" t="s">
        <v>36</v>
      </c>
    </row>
    <row r="35" spans="1:1" ht="20.100000000000001" customHeight="1">
      <c r="A35" s="16" t="s">
        <v>37</v>
      </c>
    </row>
    <row r="36" spans="1:1" ht="20.100000000000001" customHeight="1">
      <c r="A36" s="16" t="s">
        <v>38</v>
      </c>
    </row>
    <row r="37" spans="1:1" ht="20.100000000000001" customHeight="1">
      <c r="A37" s="15"/>
    </row>
    <row r="38" spans="1:1" ht="20.100000000000001" customHeight="1">
      <c r="A38" s="16" t="s">
        <v>39</v>
      </c>
    </row>
    <row r="39" spans="1:1" ht="20.100000000000001" customHeight="1">
      <c r="A39" s="16" t="s">
        <v>40</v>
      </c>
    </row>
    <row r="40" spans="1:1" ht="20.100000000000001" customHeight="1">
      <c r="A40" s="16" t="s">
        <v>41</v>
      </c>
    </row>
    <row r="41" spans="1:1" ht="20.100000000000001" customHeight="1">
      <c r="A41" s="16" t="s">
        <v>42</v>
      </c>
    </row>
    <row r="42" spans="1:1" ht="20.100000000000001" customHeight="1">
      <c r="A42" s="15"/>
    </row>
    <row r="43" spans="1:1" ht="20.100000000000001" customHeight="1">
      <c r="A43" s="16" t="s">
        <v>43</v>
      </c>
    </row>
    <row r="44" spans="1:1" ht="20.100000000000001" customHeight="1">
      <c r="A44" s="16" t="s">
        <v>44</v>
      </c>
    </row>
    <row r="45" spans="1:1" ht="20.100000000000001" customHeight="1">
      <c r="A45" s="16" t="s">
        <v>45</v>
      </c>
    </row>
    <row r="46" spans="1:1" ht="20.100000000000001" customHeight="1">
      <c r="A46" s="16" t="s">
        <v>46</v>
      </c>
    </row>
    <row r="47" spans="1:1" ht="20.100000000000001" customHeight="1">
      <c r="A47" s="15"/>
    </row>
    <row r="48" spans="1:1" ht="20.100000000000001" customHeight="1">
      <c r="A48" s="16" t="s">
        <v>47</v>
      </c>
    </row>
    <row r="49" spans="1:1" ht="20.100000000000001" customHeight="1">
      <c r="A49" s="16" t="s">
        <v>48</v>
      </c>
    </row>
    <row r="50" spans="1:1" ht="20.100000000000001" customHeight="1">
      <c r="A50" s="16" t="s">
        <v>49</v>
      </c>
    </row>
    <row r="51" spans="1:1" ht="20.100000000000001" customHeight="1">
      <c r="A51" s="16" t="s">
        <v>50</v>
      </c>
    </row>
    <row r="52" spans="1:1" ht="20.100000000000001" customHeight="1">
      <c r="A52" s="15"/>
    </row>
    <row r="53" spans="1:1" ht="20.100000000000001" customHeight="1">
      <c r="A53" s="16" t="s">
        <v>51</v>
      </c>
    </row>
    <row r="54" spans="1:1" ht="20.100000000000001" customHeight="1">
      <c r="A54" s="16" t="s">
        <v>52</v>
      </c>
    </row>
    <row r="55" spans="1:1" ht="20.100000000000001" customHeight="1">
      <c r="A55" s="16" t="s">
        <v>53</v>
      </c>
    </row>
    <row r="56" spans="1:1" ht="20.100000000000001" customHeight="1">
      <c r="A56" s="16" t="s">
        <v>54</v>
      </c>
    </row>
    <row r="57" spans="1:1" ht="20.100000000000001" customHeight="1">
      <c r="A57" s="15"/>
    </row>
    <row r="58" spans="1:1" ht="20.100000000000001" customHeight="1">
      <c r="A58" s="16" t="s">
        <v>55</v>
      </c>
    </row>
    <row r="59" spans="1:1" ht="20.100000000000001" customHeight="1">
      <c r="A59" s="16" t="s">
        <v>56</v>
      </c>
    </row>
    <row r="60" spans="1:1" ht="20.100000000000001" customHeight="1">
      <c r="A60" s="16" t="s">
        <v>57</v>
      </c>
    </row>
    <row r="61" spans="1:1" ht="20.100000000000001" customHeight="1">
      <c r="A61" s="16" t="s">
        <v>58</v>
      </c>
    </row>
    <row r="62" spans="1:1" ht="20.100000000000001" customHeight="1">
      <c r="A62" s="16" t="s">
        <v>59</v>
      </c>
    </row>
    <row r="63" spans="1:1" ht="20.100000000000001" customHeight="1">
      <c r="A63" s="15"/>
    </row>
    <row r="64" spans="1:1" ht="20.100000000000001" customHeight="1">
      <c r="A64" s="16" t="s">
        <v>60</v>
      </c>
    </row>
    <row r="65" spans="1:1" ht="20.100000000000001" customHeight="1">
      <c r="A65" s="16" t="s">
        <v>61</v>
      </c>
    </row>
    <row r="66" spans="1:1" ht="20.100000000000001" customHeight="1">
      <c r="A66" s="16" t="s">
        <v>62</v>
      </c>
    </row>
    <row r="67" spans="1:1" ht="20.100000000000001" customHeight="1">
      <c r="A67" s="16" t="s">
        <v>63</v>
      </c>
    </row>
    <row r="68" spans="1:1" ht="20.100000000000001" customHeight="1">
      <c r="A68" s="16" t="s">
        <v>64</v>
      </c>
    </row>
    <row r="69" spans="1:1" ht="20.100000000000001" customHeight="1">
      <c r="A69" s="15"/>
    </row>
    <row r="70" spans="1:1" ht="20.100000000000001" customHeight="1">
      <c r="A70" s="16" t="s">
        <v>65</v>
      </c>
    </row>
    <row r="71" spans="1:1" ht="20.100000000000001" customHeight="1">
      <c r="A71" s="16" t="s">
        <v>66</v>
      </c>
    </row>
    <row r="72" spans="1:1" ht="20.100000000000001" customHeight="1">
      <c r="A72" s="16" t="s">
        <v>67</v>
      </c>
    </row>
    <row r="73" spans="1:1" ht="20.100000000000001" customHeight="1">
      <c r="A73" s="16" t="s">
        <v>68</v>
      </c>
    </row>
    <row r="74" spans="1:1" ht="20.100000000000001" customHeight="1">
      <c r="A74" s="16" t="s">
        <v>69</v>
      </c>
    </row>
    <row r="75" spans="1:1" ht="20.100000000000001" customHeight="1">
      <c r="A75" s="15"/>
    </row>
    <row r="76" spans="1:1" ht="20.100000000000001" customHeight="1">
      <c r="A76" s="16" t="s">
        <v>70</v>
      </c>
    </row>
    <row r="77" spans="1:1" ht="20.100000000000001" customHeight="1">
      <c r="A77" s="16" t="s">
        <v>71</v>
      </c>
    </row>
    <row r="78" spans="1:1" ht="20.100000000000001" customHeight="1">
      <c r="A78" s="16" t="s">
        <v>72</v>
      </c>
    </row>
    <row r="79" spans="1:1" ht="20.100000000000001" customHeight="1">
      <c r="A79" s="16" t="s">
        <v>73</v>
      </c>
    </row>
    <row r="80" spans="1:1" ht="20.100000000000001" customHeight="1">
      <c r="A80" s="16" t="s">
        <v>74</v>
      </c>
    </row>
    <row r="81" spans="1:1" ht="20.100000000000001" customHeight="1">
      <c r="A81" s="15"/>
    </row>
    <row r="82" spans="1:1" ht="20.100000000000001" customHeight="1">
      <c r="A82" s="18" t="s">
        <v>75</v>
      </c>
    </row>
    <row r="83" spans="1:1" ht="20.100000000000001" customHeight="1">
      <c r="A83" s="15"/>
    </row>
    <row r="84" spans="1:1" ht="20.100000000000001" customHeight="1">
      <c r="A84" s="16" t="s">
        <v>76</v>
      </c>
    </row>
    <row r="85" spans="1:1" ht="20.100000000000001" customHeight="1">
      <c r="A85" s="16" t="s">
        <v>77</v>
      </c>
    </row>
    <row r="86" spans="1:1" ht="20.100000000000001" customHeight="1">
      <c r="A86" s="16" t="s">
        <v>78</v>
      </c>
    </row>
    <row r="87" spans="1:1" ht="20.100000000000001" customHeight="1">
      <c r="A87" s="15"/>
    </row>
    <row r="88" spans="1:1" ht="20.100000000000001" customHeight="1">
      <c r="A88" s="16" t="s">
        <v>79</v>
      </c>
    </row>
    <row r="89" spans="1:1" ht="20.100000000000001" customHeight="1">
      <c r="A89" s="16" t="s">
        <v>80</v>
      </c>
    </row>
    <row r="90" spans="1:1" ht="20.100000000000001" customHeight="1">
      <c r="A90" s="16" t="s">
        <v>81</v>
      </c>
    </row>
    <row r="91" spans="1:1" ht="20.100000000000001" customHeight="1">
      <c r="A91" s="15"/>
    </row>
    <row r="92" spans="1:1" ht="20.100000000000001" customHeight="1">
      <c r="A92" s="16" t="s">
        <v>82</v>
      </c>
    </row>
    <row r="93" spans="1:1" ht="20.100000000000001" customHeight="1">
      <c r="A93" s="16" t="s">
        <v>83</v>
      </c>
    </row>
    <row r="94" spans="1:1" ht="20.100000000000001" customHeight="1">
      <c r="A94" s="16" t="s">
        <v>84</v>
      </c>
    </row>
    <row r="95" spans="1:1" ht="20.100000000000001" customHeight="1">
      <c r="A95" s="15"/>
    </row>
    <row r="96" spans="1:1" ht="20.100000000000001" customHeight="1">
      <c r="A96" s="16" t="s">
        <v>85</v>
      </c>
    </row>
    <row r="97" spans="1:1" ht="20.100000000000001" customHeight="1">
      <c r="A97" s="16" t="s">
        <v>86</v>
      </c>
    </row>
    <row r="98" spans="1:1" ht="20.100000000000001" customHeight="1" thickBot="1">
      <c r="A98" s="16" t="s">
        <v>87</v>
      </c>
    </row>
    <row r="99" spans="1:1" ht="20.100000000000001" customHeight="1">
      <c r="A99" s="19"/>
    </row>
    <row r="100" spans="1:1" ht="20.100000000000001" customHeight="1">
      <c r="A100" s="18" t="s">
        <v>88</v>
      </c>
    </row>
    <row r="101" spans="1:1" ht="20.100000000000001" customHeight="1">
      <c r="A101" s="15"/>
    </row>
    <row r="102" spans="1:1" ht="20.100000000000001" customHeight="1">
      <c r="A102" s="16" t="s">
        <v>89</v>
      </c>
    </row>
    <row r="103" spans="1:1" ht="20.100000000000001" customHeight="1">
      <c r="A103" s="16" t="s">
        <v>90</v>
      </c>
    </row>
    <row r="104" spans="1:1" ht="20.100000000000001" customHeight="1">
      <c r="A104" s="15"/>
    </row>
    <row r="105" spans="1:1" ht="20.100000000000001" customHeight="1">
      <c r="A105" s="16" t="s">
        <v>91</v>
      </c>
    </row>
    <row r="106" spans="1:1" ht="20.100000000000001" customHeight="1">
      <c r="A106" s="16" t="s">
        <v>92</v>
      </c>
    </row>
    <row r="107" spans="1:1" ht="20.100000000000001" customHeight="1">
      <c r="A107" s="15"/>
    </row>
    <row r="108" spans="1:1" ht="20.100000000000001" customHeight="1">
      <c r="A108" s="18" t="s">
        <v>93</v>
      </c>
    </row>
    <row r="109" spans="1:1" ht="20.100000000000001" customHeight="1">
      <c r="A109" s="15"/>
    </row>
    <row r="110" spans="1:1" ht="20.100000000000001" customHeight="1">
      <c r="A110" s="16" t="s">
        <v>94</v>
      </c>
    </row>
    <row r="111" spans="1:1" ht="20.100000000000001" customHeight="1">
      <c r="A111" s="16" t="s">
        <v>95</v>
      </c>
    </row>
    <row r="112" spans="1:1" ht="20.100000000000001" customHeight="1">
      <c r="A112" s="15"/>
    </row>
    <row r="113" spans="1:1" ht="20.100000000000001" customHeight="1">
      <c r="A113" s="18" t="s">
        <v>96</v>
      </c>
    </row>
    <row r="114" spans="1:1" ht="20.100000000000001" customHeight="1">
      <c r="A114" s="15"/>
    </row>
    <row r="115" spans="1:1" ht="20.100000000000001" customHeight="1">
      <c r="A115" s="16" t="s">
        <v>97</v>
      </c>
    </row>
    <row r="116" spans="1:1" ht="20.100000000000001" customHeight="1">
      <c r="A116" s="15"/>
    </row>
    <row r="117" spans="1:1" ht="20.100000000000001" customHeight="1">
      <c r="A117" s="18" t="s">
        <v>98</v>
      </c>
    </row>
    <row r="118" spans="1:1" ht="20.100000000000001" customHeight="1">
      <c r="A118" s="16"/>
    </row>
    <row r="119" spans="1:1" ht="20.100000000000001" customHeight="1">
      <c r="A119" s="16" t="s">
        <v>99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1" sqref="K21"/>
    </sheetView>
  </sheetViews>
  <sheetFormatPr defaultRowHeight="12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10</vt:i4>
      </vt:variant>
    </vt:vector>
  </HeadingPairs>
  <TitlesOfParts>
    <vt:vector size="73" baseType="lpstr">
      <vt:lpstr>HD 1 AKIS</vt:lpstr>
      <vt:lpstr>Sheet62</vt:lpstr>
      <vt:lpstr>Sheet1</vt:lpstr>
      <vt:lpstr>Sheet4</vt:lpstr>
      <vt:lpstr>Sheet2</vt:lpstr>
      <vt:lpstr>Sheet5</vt:lpstr>
      <vt:lpstr>Sheet3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Criteria</vt:lpstr>
      <vt:lpstr>DUR</vt:lpstr>
      <vt:lpstr>ID</vt:lpstr>
      <vt:lpstr>NO</vt:lpstr>
      <vt:lpstr>NOTES</vt:lpstr>
      <vt:lpstr>'HD 1 AKIS'!Print_Area</vt:lpstr>
      <vt:lpstr>START</vt:lpstr>
      <vt:lpstr>TC_IN</vt:lpstr>
      <vt:lpstr>TC_OUT</vt:lpstr>
      <vt:lpstr>TITLE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YAYIN YÖNETIM</dc:creator>
  <cp:lastModifiedBy>LTREKLAM (LIGTV)</cp:lastModifiedBy>
  <cp:lastPrinted>2018-02-19T23:09:07Z</cp:lastPrinted>
  <dcterms:created xsi:type="dcterms:W3CDTF">2006-07-25T20:51:36Z</dcterms:created>
  <dcterms:modified xsi:type="dcterms:W3CDTF">2018-02-19T23:12:31Z</dcterms:modified>
</cp:coreProperties>
</file>